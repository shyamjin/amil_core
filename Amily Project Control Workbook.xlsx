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gif" ContentType="image/gif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\\ntnet\filestore1\Managed_Services_Division\NextGen\AI\atomIQ Ticketing\"/>
    </mc:Choice>
  </mc:AlternateContent>
  <bookViews>
    <workbookView xWindow="0" yWindow="0" windowWidth="2160" windowHeight="0" tabRatio="867" activeTab="2"/>
  </bookViews>
  <sheets>
    <sheet name="Accounts Tasks" sheetId="1" r:id="rId1"/>
    <sheet name="Dashboard" sheetId="22" r:id="rId2"/>
    <sheet name="Workflows" sheetId="8" r:id="rId3"/>
    <sheet name="Dispatch flows" sheetId="21" r:id="rId4"/>
    <sheet name="Amily PoC Status" sheetId="6" state="hidden" r:id="rId5"/>
    <sheet name="Amily PoC Contacts" sheetId="5" state="hidden" r:id="rId6"/>
  </sheets>
  <definedNames>
    <definedName name="_xlnm._FilterDatabase" localSheetId="2" hidden="1">Workflows!$D$3:$H$31</definedName>
    <definedName name="Date">Dashboard!$S$3</definedName>
    <definedName name="Date_Range">OFFSET(Dashboard!$AF$4,0,0,MATCH(TODAY(),Dashboard!$AF$4:$AF$337,0)+1)</definedName>
    <definedName name="Flow_Range">OFFSET(Dashboard!$AG$4,0,0,MATCH(TODAY(),Dashboard!$AF$4:$AF$337,0)+1)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4" i="22" l="1"/>
  <c r="D14" i="22"/>
  <c r="E14" i="22"/>
  <c r="G14" i="22"/>
  <c r="H14" i="22"/>
  <c r="I14" i="22"/>
  <c r="K14" i="22"/>
  <c r="L14" i="22"/>
  <c r="M14" i="22"/>
  <c r="N14" i="22"/>
  <c r="O14" i="22"/>
  <c r="D13" i="22"/>
  <c r="F13" i="22" l="1"/>
  <c r="F6" i="22"/>
  <c r="F7" i="22"/>
  <c r="F8" i="22"/>
  <c r="F9" i="22"/>
  <c r="F10" i="22"/>
  <c r="F11" i="22"/>
  <c r="F12" i="22"/>
  <c r="F5" i="22"/>
  <c r="F2" i="22" l="1"/>
  <c r="E13" i="22"/>
  <c r="G13" i="22"/>
  <c r="H13" i="22"/>
  <c r="I13" i="22"/>
  <c r="K13" i="22"/>
  <c r="L13" i="22"/>
  <c r="M13" i="22"/>
  <c r="N13" i="22"/>
  <c r="O13" i="22"/>
  <c r="AG5" i="22" l="1"/>
  <c r="AG6" i="22"/>
  <c r="AG7" i="22"/>
  <c r="AG8" i="22"/>
  <c r="AG9" i="22"/>
  <c r="AG10" i="22"/>
  <c r="AG11" i="22"/>
  <c r="AG12" i="22"/>
  <c r="AG13" i="22"/>
  <c r="AG14" i="22"/>
  <c r="AG15" i="22"/>
  <c r="AG16" i="22"/>
  <c r="AG17" i="22"/>
  <c r="AG18" i="22"/>
  <c r="AG19" i="22"/>
  <c r="AG20" i="22"/>
  <c r="AG21" i="22"/>
  <c r="AG22" i="22"/>
  <c r="AG23" i="22"/>
  <c r="AG24" i="22"/>
  <c r="AG25" i="22"/>
  <c r="AG26" i="22"/>
  <c r="AG27" i="22"/>
  <c r="AG28" i="22"/>
  <c r="AG29" i="22"/>
  <c r="AG30" i="22"/>
  <c r="AG31" i="22"/>
  <c r="AG32" i="22"/>
  <c r="AG33" i="22"/>
  <c r="AG34" i="22"/>
  <c r="AG35" i="22"/>
  <c r="AG36" i="22"/>
  <c r="AG37" i="22"/>
  <c r="AG38" i="22"/>
  <c r="AG39" i="22"/>
  <c r="AG40" i="22"/>
  <c r="AG41" i="22"/>
  <c r="AG42" i="22"/>
  <c r="AG43" i="22"/>
  <c r="AG44" i="22"/>
  <c r="AG45" i="22"/>
  <c r="AG46" i="22"/>
  <c r="AG47" i="22"/>
  <c r="AG48" i="22"/>
  <c r="AG49" i="22"/>
  <c r="AG50" i="22"/>
  <c r="AG51" i="22"/>
  <c r="AG52" i="22"/>
  <c r="AG53" i="22"/>
  <c r="AG54" i="22"/>
  <c r="AG55" i="22"/>
  <c r="AG56" i="22"/>
  <c r="AG57" i="22"/>
  <c r="AG58" i="22"/>
  <c r="AG59" i="22"/>
  <c r="AG60" i="22"/>
  <c r="AG61" i="22"/>
  <c r="AG62" i="22"/>
  <c r="AG63" i="22"/>
  <c r="AG64" i="22"/>
  <c r="AG65" i="22"/>
  <c r="AG66" i="22"/>
  <c r="AG67" i="22"/>
  <c r="AG68" i="22"/>
  <c r="AG69" i="22"/>
  <c r="AG70" i="22"/>
  <c r="AG71" i="22"/>
  <c r="AG72" i="22"/>
  <c r="AG73" i="22"/>
  <c r="AG74" i="22"/>
  <c r="AG75" i="22"/>
  <c r="AG76" i="22"/>
  <c r="AG77" i="22"/>
  <c r="AG78" i="22"/>
  <c r="AG79" i="22"/>
  <c r="AG80" i="22"/>
  <c r="AG81" i="22"/>
  <c r="AG82" i="22"/>
  <c r="AG83" i="22"/>
  <c r="AG84" i="22"/>
  <c r="AG85" i="22"/>
  <c r="AG86" i="22"/>
  <c r="AG87" i="22"/>
  <c r="AG88" i="22"/>
  <c r="AG89" i="22"/>
  <c r="AG90" i="22"/>
  <c r="AG91" i="22"/>
  <c r="AG92" i="22"/>
  <c r="AG93" i="22"/>
  <c r="AG94" i="22"/>
  <c r="AG95" i="22"/>
  <c r="AG96" i="22"/>
  <c r="AG97" i="22"/>
  <c r="AG98" i="22"/>
  <c r="AG99" i="22"/>
  <c r="AG100" i="22"/>
  <c r="AG101" i="22"/>
  <c r="AG102" i="22"/>
  <c r="AG103" i="22"/>
  <c r="AG104" i="22"/>
  <c r="AG105" i="22"/>
  <c r="AG106" i="22"/>
  <c r="AG107" i="22"/>
  <c r="AG108" i="22"/>
  <c r="AG109" i="22"/>
  <c r="AG110" i="22"/>
  <c r="AG111" i="22"/>
  <c r="AG112" i="22"/>
  <c r="AG113" i="22"/>
  <c r="AG114" i="22"/>
  <c r="AG115" i="22"/>
  <c r="AG116" i="22"/>
  <c r="AG117" i="22"/>
  <c r="AG118" i="22"/>
  <c r="AG119" i="22"/>
  <c r="AG120" i="22"/>
  <c r="AG121" i="22"/>
  <c r="AG122" i="22"/>
  <c r="AG123" i="22"/>
  <c r="AG124" i="22"/>
  <c r="AG125" i="22"/>
  <c r="AG126" i="22"/>
  <c r="AG127" i="22"/>
  <c r="AG128" i="22"/>
  <c r="AG129" i="22"/>
  <c r="AG130" i="22"/>
  <c r="AG131" i="22"/>
  <c r="AG132" i="22"/>
  <c r="AG133" i="22"/>
  <c r="AG134" i="22"/>
  <c r="AG135" i="22"/>
  <c r="AG136" i="22"/>
  <c r="AG137" i="22"/>
  <c r="AG138" i="22"/>
  <c r="AG139" i="22"/>
  <c r="AG140" i="22"/>
  <c r="AG141" i="22"/>
  <c r="AG142" i="22"/>
  <c r="AG143" i="22"/>
  <c r="AG144" i="22"/>
  <c r="AG145" i="22"/>
  <c r="AG146" i="22"/>
  <c r="AG147" i="22"/>
  <c r="AG148" i="22"/>
  <c r="AG149" i="22"/>
  <c r="AG150" i="22"/>
  <c r="AG151" i="22"/>
  <c r="AG152" i="22"/>
  <c r="AG153" i="22"/>
  <c r="AG154" i="22"/>
  <c r="AG155" i="22"/>
  <c r="AG156" i="22"/>
  <c r="AG157" i="22"/>
  <c r="AG158" i="22"/>
  <c r="AG159" i="22"/>
  <c r="AG160" i="22"/>
  <c r="AG161" i="22"/>
  <c r="AG162" i="22"/>
  <c r="AG163" i="22"/>
  <c r="AG164" i="22"/>
  <c r="AG165" i="22"/>
  <c r="AG166" i="22"/>
  <c r="AG167" i="22"/>
  <c r="AG168" i="22"/>
  <c r="AG169" i="22"/>
  <c r="AG170" i="22"/>
  <c r="AG171" i="22"/>
  <c r="AG172" i="22"/>
  <c r="AG173" i="22"/>
  <c r="AG174" i="22"/>
  <c r="AG175" i="22"/>
  <c r="AG176" i="22"/>
  <c r="AG177" i="22"/>
  <c r="AG178" i="22"/>
  <c r="AG179" i="22"/>
  <c r="AG180" i="22"/>
  <c r="AG181" i="22"/>
  <c r="AG182" i="22"/>
  <c r="AG183" i="22"/>
  <c r="AG184" i="22"/>
  <c r="AG185" i="22"/>
  <c r="AG186" i="22"/>
  <c r="AG187" i="22"/>
  <c r="AG188" i="22"/>
  <c r="AG189" i="22"/>
  <c r="AG190" i="22"/>
  <c r="AG191" i="22"/>
  <c r="AG192" i="22"/>
  <c r="AG193" i="22"/>
  <c r="AG194" i="22"/>
  <c r="AG195" i="22"/>
  <c r="AG196" i="22"/>
  <c r="AG197" i="22"/>
  <c r="AG198" i="22"/>
  <c r="AG199" i="22"/>
  <c r="AG200" i="22"/>
  <c r="AG201" i="22"/>
  <c r="AG202" i="22"/>
  <c r="AG203" i="22"/>
  <c r="AG204" i="22"/>
  <c r="AG205" i="22"/>
  <c r="AG206" i="22"/>
  <c r="AG207" i="22"/>
  <c r="AG208" i="22"/>
  <c r="AG209" i="22"/>
  <c r="AG210" i="22"/>
  <c r="AG211" i="22"/>
  <c r="AG212" i="22"/>
  <c r="AG213" i="22"/>
  <c r="AG214" i="22"/>
  <c r="AG215" i="22"/>
  <c r="AG216" i="22"/>
  <c r="AG217" i="22"/>
  <c r="AG218" i="22"/>
  <c r="AG219" i="22"/>
  <c r="AG220" i="22"/>
  <c r="AG221" i="22"/>
  <c r="AG222" i="22"/>
  <c r="AG223" i="22"/>
  <c r="AG224" i="22"/>
  <c r="AG225" i="22"/>
  <c r="AG226" i="22"/>
  <c r="AG227" i="22"/>
  <c r="AG228" i="22"/>
  <c r="AG229" i="22"/>
  <c r="AG230" i="22"/>
  <c r="AG231" i="22"/>
  <c r="AG232" i="22"/>
  <c r="AG233" i="22"/>
  <c r="AG234" i="22"/>
  <c r="AG235" i="22"/>
  <c r="AG236" i="22"/>
  <c r="AG237" i="22"/>
  <c r="AG238" i="22"/>
  <c r="AG239" i="22"/>
  <c r="AG240" i="22"/>
  <c r="AG241" i="22"/>
  <c r="AG242" i="22"/>
  <c r="AG243" i="22"/>
  <c r="AG244" i="22"/>
  <c r="AG245" i="22"/>
  <c r="AG246" i="22"/>
  <c r="AG247" i="22"/>
  <c r="AG248" i="22"/>
  <c r="AG249" i="22"/>
  <c r="AG250" i="22"/>
  <c r="AG251" i="22"/>
  <c r="AG252" i="22"/>
  <c r="AG253" i="22"/>
  <c r="AG254" i="22"/>
  <c r="AG255" i="22"/>
  <c r="AG256" i="22"/>
  <c r="AG257" i="22"/>
  <c r="AG258" i="22"/>
  <c r="AG259" i="22"/>
  <c r="AG260" i="22"/>
  <c r="AG261" i="22"/>
  <c r="AG262" i="22"/>
  <c r="AG263" i="22"/>
  <c r="AG264" i="22"/>
  <c r="AG265" i="22"/>
  <c r="AG266" i="22"/>
  <c r="AG267" i="22"/>
  <c r="AG268" i="22"/>
  <c r="AG269" i="22"/>
  <c r="AG270" i="22"/>
  <c r="AG271" i="22"/>
  <c r="AG272" i="22"/>
  <c r="AG273" i="22"/>
  <c r="AG274" i="22"/>
  <c r="AG275" i="22"/>
  <c r="AG276" i="22"/>
  <c r="AG277" i="22"/>
  <c r="AG278" i="22"/>
  <c r="AG279" i="22"/>
  <c r="AG280" i="22"/>
  <c r="AG281" i="22"/>
  <c r="AG282" i="22"/>
  <c r="AG283" i="22"/>
  <c r="AG284" i="22"/>
  <c r="AG285" i="22"/>
  <c r="AG286" i="22"/>
  <c r="AG287" i="22"/>
  <c r="AG288" i="22"/>
  <c r="AG289" i="22"/>
  <c r="AG290" i="22"/>
  <c r="AG291" i="22"/>
  <c r="AG292" i="22"/>
  <c r="AG293" i="22"/>
  <c r="AG294" i="22"/>
  <c r="AG295" i="22"/>
  <c r="AG296" i="22"/>
  <c r="AG297" i="22"/>
  <c r="AG298" i="22"/>
  <c r="AG299" i="22"/>
  <c r="AG300" i="22"/>
  <c r="AG301" i="22"/>
  <c r="AG302" i="22"/>
  <c r="AG303" i="22"/>
  <c r="AG304" i="22"/>
  <c r="AG305" i="22"/>
  <c r="AG306" i="22"/>
  <c r="AG307" i="22"/>
  <c r="AG308" i="22"/>
  <c r="AG309" i="22"/>
  <c r="AG310" i="22"/>
  <c r="AG311" i="22"/>
  <c r="AG312" i="22"/>
  <c r="AG313" i="22"/>
  <c r="AG314" i="22"/>
  <c r="AG315" i="22"/>
  <c r="AG316" i="22"/>
  <c r="AG317" i="22"/>
  <c r="AG318" i="22"/>
  <c r="AG319" i="22"/>
  <c r="AG320" i="22"/>
  <c r="AG321" i="22"/>
  <c r="AG322" i="22"/>
  <c r="AG323" i="22"/>
  <c r="AG324" i="22"/>
  <c r="AG325" i="22"/>
  <c r="AG326" i="22"/>
  <c r="AG327" i="22"/>
  <c r="AG328" i="22"/>
  <c r="AG329" i="22"/>
  <c r="AG330" i="22"/>
  <c r="AG331" i="22"/>
  <c r="AG332" i="22"/>
  <c r="AG333" i="22"/>
  <c r="AG334" i="22"/>
  <c r="AG335" i="22"/>
  <c r="AG336" i="22"/>
  <c r="AG337" i="22"/>
  <c r="AG4" i="22"/>
  <c r="D12" i="22" l="1"/>
  <c r="E12" i="22"/>
  <c r="G12" i="22"/>
  <c r="H12" i="22"/>
  <c r="I12" i="22"/>
  <c r="K12" i="22"/>
  <c r="L12" i="22"/>
  <c r="M12" i="22"/>
  <c r="N12" i="22"/>
  <c r="O12" i="22"/>
  <c r="D11" i="22" l="1"/>
  <c r="E11" i="22"/>
  <c r="G11" i="22"/>
  <c r="H11" i="22"/>
  <c r="I11" i="22"/>
  <c r="K11" i="22"/>
  <c r="L11" i="22"/>
  <c r="M11" i="22"/>
  <c r="N11" i="22"/>
  <c r="O11" i="22"/>
  <c r="L5" i="22" l="1"/>
  <c r="M5" i="22"/>
  <c r="N5" i="22"/>
  <c r="O5" i="22"/>
  <c r="L6" i="22"/>
  <c r="M6" i="22"/>
  <c r="N6" i="22"/>
  <c r="O6" i="22"/>
  <c r="L7" i="22"/>
  <c r="M7" i="22"/>
  <c r="N7" i="22"/>
  <c r="O7" i="22"/>
  <c r="L8" i="22"/>
  <c r="M8" i="22"/>
  <c r="N8" i="22"/>
  <c r="O8" i="22"/>
  <c r="L9" i="22"/>
  <c r="M9" i="22"/>
  <c r="N9" i="22"/>
  <c r="O9" i="22"/>
  <c r="L10" i="22"/>
  <c r="M10" i="22"/>
  <c r="N10" i="22"/>
  <c r="O10" i="22"/>
  <c r="K6" i="22"/>
  <c r="K7" i="22"/>
  <c r="K8" i="22"/>
  <c r="K9" i="22"/>
  <c r="K10" i="22"/>
  <c r="K5" i="22"/>
  <c r="O2" i="22" l="1"/>
  <c r="N2" i="22"/>
  <c r="K2" i="22"/>
  <c r="M2" i="22"/>
  <c r="L2" i="22"/>
  <c r="E5" i="22"/>
  <c r="G5" i="22"/>
  <c r="H5" i="22"/>
  <c r="I5" i="22"/>
  <c r="E6" i="22"/>
  <c r="G6" i="22"/>
  <c r="H6" i="22"/>
  <c r="I6" i="22"/>
  <c r="E7" i="22"/>
  <c r="G7" i="22"/>
  <c r="H7" i="22"/>
  <c r="I7" i="22"/>
  <c r="E8" i="22"/>
  <c r="G8" i="22"/>
  <c r="H8" i="22"/>
  <c r="I8" i="22"/>
  <c r="E9" i="22"/>
  <c r="G9" i="22"/>
  <c r="H9" i="22"/>
  <c r="I9" i="22"/>
  <c r="E10" i="22"/>
  <c r="G10" i="22"/>
  <c r="H10" i="22"/>
  <c r="I10" i="22"/>
  <c r="D6" i="22"/>
  <c r="D7" i="22"/>
  <c r="D8" i="22"/>
  <c r="D9" i="22"/>
  <c r="D10" i="22"/>
  <c r="D5" i="22"/>
  <c r="H2" i="22" l="1"/>
  <c r="D2" i="22"/>
  <c r="G2" i="22"/>
  <c r="I2" i="22"/>
  <c r="E2" i="22"/>
  <c r="AB50" i="8"/>
  <c r="AA50" i="8"/>
  <c r="AG4" i="8"/>
  <c r="AG10" i="8"/>
  <c r="AG62" i="8"/>
  <c r="AG58" i="8"/>
  <c r="AG52" i="8"/>
  <c r="AG51" i="8"/>
  <c r="AG48" i="8"/>
  <c r="AG36" i="8"/>
  <c r="AG34" i="8"/>
  <c r="AG33" i="8"/>
  <c r="AG16" i="8"/>
  <c r="AG13" i="8"/>
  <c r="AE52" i="8"/>
  <c r="AD51" i="8"/>
  <c r="AB58" i="8" l="1"/>
  <c r="AA58" i="8"/>
  <c r="AE62" i="8"/>
  <c r="AB62" i="8"/>
  <c r="AD62" i="8"/>
  <c r="AA62" i="8"/>
  <c r="AE60" i="8"/>
  <c r="AB60" i="8"/>
  <c r="AA60" i="8"/>
  <c r="AB4" i="8" l="1"/>
</calcChain>
</file>

<file path=xl/comments1.xml><?xml version="1.0" encoding="utf-8"?>
<comments xmlns="http://schemas.openxmlformats.org/spreadsheetml/2006/main">
  <authors>
    <author>Yaniv Avrashi</author>
  </authors>
  <commentList>
    <comment ref="F3" authorId="0" shapeId="0">
      <text>
        <r>
          <rPr>
            <b/>
            <sz val="9"/>
            <color indexed="81"/>
            <rFont val="Tahoma"/>
            <family val="2"/>
          </rPr>
          <t xml:space="preserve">Green - active workflow in production
Yellow - active in prod. but disabled
Blue - Fully ready for E2E testing
</t>
        </r>
      </text>
    </comment>
    <comment ref="AF3" authorId="0" shapeId="0">
      <text>
        <r>
          <rPr>
            <b/>
            <sz val="9"/>
            <color indexed="81"/>
            <rFont val="Tahoma"/>
            <family val="2"/>
          </rPr>
          <t>Manual Recommendation False Positive Rate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48" authorId="0" shapeId="0">
      <text>
        <r>
          <rPr>
            <b/>
            <sz val="9"/>
            <color indexed="81"/>
            <rFont val="Tahoma"/>
            <family val="2"/>
          </rPr>
          <t>PhoneNumberExtractor(added_digits = 3)</t>
        </r>
      </text>
    </comment>
    <comment ref="P49" authorId="0" shapeId="0">
      <text>
        <r>
          <rPr>
            <b/>
            <sz val="9"/>
            <color indexed="81"/>
            <rFont val="Tahoma"/>
            <family val="2"/>
          </rPr>
          <t>PhoneNumberExtractor(added_digits = 3)</t>
        </r>
      </text>
    </comment>
    <comment ref="P50" authorId="0" shapeId="0">
      <text>
        <r>
          <rPr>
            <b/>
            <sz val="9"/>
            <color indexed="81"/>
            <rFont val="Tahoma"/>
            <family val="2"/>
          </rPr>
          <t>PhoneNumberExtractor(added_digits = 3)</t>
        </r>
      </text>
    </comment>
    <comment ref="P51" authorId="0" shapeId="0">
      <text>
        <r>
          <rPr>
            <b/>
            <sz val="9"/>
            <color indexed="81"/>
            <rFont val="Tahoma"/>
            <family val="2"/>
          </rPr>
          <t>PhoneNumberExtractor(added_digits = 3)</t>
        </r>
      </text>
    </comment>
    <comment ref="P52" authorId="0" shapeId="0">
      <text>
        <r>
          <rPr>
            <b/>
            <sz val="9"/>
            <color indexed="81"/>
            <rFont val="Tahoma"/>
            <family val="2"/>
          </rPr>
          <t>PhoneNumberExtractor(added_digits = 3)</t>
        </r>
      </text>
    </comment>
    <comment ref="P56" authorId="0" shapeId="0">
      <text>
        <r>
          <rPr>
            <b/>
            <sz val="9"/>
            <color indexed="81"/>
            <rFont val="Tahoma"/>
            <family val="2"/>
          </rPr>
          <t>PhoneNumberExtractor(added_digits = 3)</t>
        </r>
      </text>
    </comment>
    <comment ref="G87" authorId="0" shapeId="0">
      <text>
        <r>
          <rPr>
            <b/>
            <sz val="9"/>
            <color indexed="81"/>
            <rFont val="Tahoma"/>
            <family val="2"/>
          </rPr>
          <t>Trained as "All"</t>
        </r>
      </text>
    </comment>
  </commentList>
</comments>
</file>

<file path=xl/sharedStrings.xml><?xml version="1.0" encoding="utf-8"?>
<sst xmlns="http://schemas.openxmlformats.org/spreadsheetml/2006/main" count="1060" uniqueCount="442">
  <si>
    <t>Note</t>
  </si>
  <si>
    <t>FP</t>
  </si>
  <si>
    <t>Status</t>
  </si>
  <si>
    <t>Vendor</t>
  </si>
  <si>
    <t>Name</t>
  </si>
  <si>
    <t>Phone Number</t>
  </si>
  <si>
    <t>E-mail</t>
  </si>
  <si>
    <t>IBM</t>
  </si>
  <si>
    <t>Jorge Vulej</t>
  </si>
  <si>
    <t>050-9926431</t>
  </si>
  <si>
    <t>ITZHAKVULEJ@IBM.COM</t>
  </si>
  <si>
    <t>Omer Mizrachi</t>
  </si>
  <si>
    <t>OMERMI@il.ibm.com</t>
  </si>
  <si>
    <t>058-6485787</t>
  </si>
  <si>
    <t>SAS</t>
  </si>
  <si>
    <t>054-6400073</t>
  </si>
  <si>
    <t>Jonathanb@miac.com</t>
  </si>
  <si>
    <t>Yoni Barak</t>
  </si>
  <si>
    <t>Hagay Goldman</t>
  </si>
  <si>
    <t>Dina Gelfond</t>
  </si>
  <si>
    <t>052-6678805</t>
  </si>
  <si>
    <t>052-8195582</t>
  </si>
  <si>
    <t>Hagay.Goldman@sas.com</t>
  </si>
  <si>
    <t>DinaG@miac.com</t>
  </si>
  <si>
    <t>FOSS</t>
  </si>
  <si>
    <t>Yuval Feinstein</t>
  </si>
  <si>
    <t>fyuval@gmail.com</t>
  </si>
  <si>
    <t>058-5113545</t>
  </si>
  <si>
    <t>ASMM Variance found base</t>
  </si>
  <si>
    <t>Hold Activity Cancellation</t>
  </si>
  <si>
    <t>LTP No Load Receive</t>
  </si>
  <si>
    <t>Misaligned Component - MRF</t>
  </si>
  <si>
    <t>Other</t>
  </si>
  <si>
    <t>PER Downstream Variance</t>
  </si>
  <si>
    <t>Rated Events Extraction</t>
  </si>
  <si>
    <t>Service Configuration</t>
  </si>
  <si>
    <t>Trending files with zero records</t>
  </si>
  <si>
    <t>Variance found on CDR</t>
  </si>
  <si>
    <t>Flow</t>
  </si>
  <si>
    <t>Globe</t>
  </si>
  <si>
    <t>Classification</t>
  </si>
  <si>
    <t>Parsing</t>
  </si>
  <si>
    <t>Sprint</t>
  </si>
  <si>
    <t>Cancel Subscriber</t>
  </si>
  <si>
    <t>Complete Order</t>
  </si>
  <si>
    <t>Daily DRF</t>
  </si>
  <si>
    <t>Funds Not Sweeping</t>
  </si>
  <si>
    <t>MPD date incorrect</t>
  </si>
  <si>
    <t>Update PTN</t>
  </si>
  <si>
    <t>Account</t>
  </si>
  <si>
    <t>Supervised Evaluation</t>
  </si>
  <si>
    <t>Clustering</t>
  </si>
  <si>
    <t>Internal/External</t>
  </si>
  <si>
    <t>Internal</t>
  </si>
  <si>
    <t>External</t>
  </si>
  <si>
    <t>Yes</t>
  </si>
  <si>
    <t>TKS</t>
  </si>
  <si>
    <t>Yes - Globe</t>
  </si>
  <si>
    <t>Yes - Sprint</t>
  </si>
  <si>
    <t>No</t>
  </si>
  <si>
    <t>Metro</t>
  </si>
  <si>
    <t>Evaluate</t>
  </si>
  <si>
    <t>`</t>
  </si>
  <si>
    <t>Deployment feasibility PoC - all 3 tools</t>
  </si>
  <si>
    <t>XL Axiata</t>
  </si>
  <si>
    <t xml:space="preserve">Robust deployment feasibility PoC - with or w/o source code on </t>
  </si>
  <si>
    <t>OCR in python</t>
  </si>
  <si>
    <t>Gitlab</t>
  </si>
  <si>
    <t>Code</t>
  </si>
  <si>
    <t>Rated events extraction</t>
  </si>
  <si>
    <t>LTP no load received</t>
  </si>
  <si>
    <t>Complete order</t>
  </si>
  <si>
    <t>Link</t>
  </si>
  <si>
    <t>Type</t>
  </si>
  <si>
    <t>Hold activity cancellation</t>
  </si>
  <si>
    <t>Krrish Dev.</t>
  </si>
  <si>
    <t>ASMM variance found base</t>
  </si>
  <si>
    <t>Entity</t>
  </si>
  <si>
    <t>Atom</t>
  </si>
  <si>
    <t>Configuration</t>
  </si>
  <si>
    <t>MSISDN (M)</t>
  </si>
  <si>
    <t>Date-Range</t>
  </si>
  <si>
    <t>Regex</t>
  </si>
  <si>
    <t>MSISDN</t>
  </si>
  <si>
    <t>PhoneNumberExtractor(exclusion_list = ["requestor phone", "contact phone", "requestor contact"]
                                          ,first_digit = 9)</t>
  </si>
  <si>
    <t>RegexExtractor(extraction_regex = r"""voice|call?s""" , indicator = True)</t>
  </si>
  <si>
    <t>RegexExtractor(extraction_regex = r"""sms|text|txt|msg|messag?e?s""" , indicator = True)</t>
  </si>
  <si>
    <t>Globe_ASMM</t>
  </si>
  <si>
    <t>Comes in an attached .zip file</t>
  </si>
  <si>
    <t>RegexExtractor(extraction_regex = r"""data|internet""" , indicator = True)</t>
  </si>
  <si>
    <t>Threshold_Break</t>
  </si>
  <si>
    <t>Phase</t>
  </si>
  <si>
    <t>RegexExtractor(extraction_regex = r"""\\sroaming|\\sroam\\s""" , indicator = True)</t>
  </si>
  <si>
    <t>configured</t>
  </si>
  <si>
    <t>RegexExtractor(extraction_regex = r"""(\\D\\d{9}\\d?)([a]|[A])""", integer_indicator = True)</t>
  </si>
  <si>
    <t>PhoneNumberExtractor()</t>
  </si>
  <si>
    <t>Threshold Config</t>
  </si>
  <si>
    <t>PTN (M)</t>
  </si>
  <si>
    <t>0.5,0.5</t>
  </si>
  <si>
    <t>Ext.</t>
  </si>
  <si>
    <t>Int.</t>
  </si>
  <si>
    <t>CSM-RPL Production Sanity</t>
  </si>
  <si>
    <t>Krrish Name</t>
  </si>
  <si>
    <t>LTP_NO_LOAD_RECEIVE</t>
  </si>
  <si>
    <t>MEDIATION_REPORT</t>
  </si>
  <si>
    <t>DATE_FROM, DATE_TO</t>
  </si>
  <si>
    <t>DateRangeExtractor(from_range_name = 'DATE_FROM', to_range_name = 'DATE_TO', time_zone = 'Asia/Manila')</t>
  </si>
  <si>
    <t>VOICE</t>
  </si>
  <si>
    <t>SMS</t>
  </si>
  <si>
    <t>DATA</t>
  </si>
  <si>
    <t>ROAMING_IND</t>
  </si>
  <si>
    <t>FILE_IDENTIFIER (M)</t>
  </si>
  <si>
    <t>SEEDING_DATE</t>
  </si>
  <si>
    <t>ORDER_ID</t>
  </si>
  <si>
    <t>complete order</t>
  </si>
  <si>
    <t>Sprint_INCORRECT MPD DATE CORRECTED</t>
  </si>
  <si>
    <t>BAN (M)</t>
  </si>
  <si>
    <t>TZ (M)</t>
  </si>
  <si>
    <t>RegexExtractor(extraction_regex =r"""(^|\\D)\d{9}(\\b|\\D)""",exclusion_list = ["Secondary", "secondary"],exclusion_offset=30, unique_indicator = False, integer_indicator = True)</t>
  </si>
  <si>
    <t>May appear in the Summary field, Take only Primary number</t>
  </si>
  <si>
    <t>Globe_ASMMVariance_FileIdExtractor()</t>
  </si>
  <si>
    <t>-</t>
  </si>
  <si>
    <t>Order_Number (M)</t>
  </si>
  <si>
    <t>Age Out</t>
  </si>
  <si>
    <t>Customer Booking</t>
  </si>
  <si>
    <t>RegexExtractor(extraction_regex =r"""(TZ|Time Zone)(\\s{,5}?)([\\d]+)""", remove_char = "[^0-9]")</t>
  </si>
  <si>
    <t>Advance MRC Threshold Break</t>
  </si>
  <si>
    <r>
      <rPr>
        <b/>
        <sz val="8"/>
        <color rgb="FF006100"/>
        <rFont val="Calibri"/>
        <family val="2"/>
        <scheme val="minor"/>
      </rPr>
      <t>Trained</t>
    </r>
    <r>
      <rPr>
        <sz val="8"/>
        <color rgb="FF006100"/>
        <rFont val="Calibri"/>
        <family val="2"/>
        <scheme val="minor"/>
      </rPr>
      <t xml:space="preserve">
Desc - 0.5,
Summ - 0.5</t>
    </r>
  </si>
  <si>
    <r>
      <rPr>
        <b/>
        <sz val="8"/>
        <color rgb="FF006100"/>
        <rFont val="Calibri"/>
        <family val="2"/>
        <scheme val="minor"/>
      </rPr>
      <t>Trained</t>
    </r>
    <r>
      <rPr>
        <sz val="8"/>
        <color rgb="FF006100"/>
        <rFont val="Calibri"/>
        <family val="2"/>
        <scheme val="minor"/>
      </rPr>
      <t xml:space="preserve">
Desc - 0.1,
Summ - 0.9</t>
    </r>
  </si>
  <si>
    <t>0.9,0.5</t>
  </si>
  <si>
    <t>0.7,0.5</t>
  </si>
  <si>
    <t>0.8,0.5</t>
  </si>
  <si>
    <t>Description</t>
  </si>
  <si>
    <t>Wrong Charging</t>
  </si>
  <si>
    <t>Cricket</t>
  </si>
  <si>
    <t xml:space="preserve">Auto Pay Issue      </t>
  </si>
  <si>
    <t>Change CTN</t>
  </si>
  <si>
    <t>Resume Subscriber</t>
  </si>
  <si>
    <t>Model</t>
  </si>
  <si>
    <t>1. N gram - 2 
2. Chi2 - 20%
3. Random Forest - 100 trees</t>
  </si>
  <si>
    <t>RegexExtractor(extraction_regex = r"""((seed|sedd|seeed)(.{1,50})(\\b((?:[1-9]|0[1-9]|[1-2][0-9]|3[0-1]))(\\s|$)))|((\\b1st)|(21st)|(31st)|(\\b2nd)|(22nd)|(10th)|(11th)|(12th)|(13th)|(\\b3rd)|(23rd)|([1-2]?(0|[4-9])th))""" , integer_indicator = True, length_limit = 2, default_value = datetime.datetime.now().strftime('%d'))</t>
  </si>
  <si>
    <t>Unsync VRM Active/Cancel</t>
  </si>
  <si>
    <t>BAN</t>
  </si>
  <si>
    <t>PTN</t>
  </si>
  <si>
    <t>CTN</t>
  </si>
  <si>
    <t>Order ID</t>
  </si>
  <si>
    <t>Production Date</t>
  </si>
  <si>
    <t>Total</t>
  </si>
  <si>
    <t>% in Training data</t>
  </si>
  <si>
    <t>Non-UTS, Received by e-mail</t>
  </si>
  <si>
    <t>Recall on test set</t>
  </si>
  <si>
    <t>Quota not update</t>
  </si>
  <si>
    <t>Lower TH</t>
  </si>
  <si>
    <t>TH = 0.5</t>
  </si>
  <si>
    <t>Customer/frontline activate subscriber, then they request to Billing Helpdesk  - change status from Aging to Assigned</t>
  </si>
  <si>
    <t>Customer/frontline activate subscriber, then they request to Billing Helpdesk  - change status from Reserved Prio to Reserved VRM</t>
  </si>
  <si>
    <t xml:space="preserve">Customer/frontline want to checking subscriber in CRM Smartclient but it’s was not sync in status (Cancel/Active) with CM DB/VRM Tool </t>
  </si>
  <si>
    <t xml:space="preserve">Customer/frontline complaint if subscriber got wrong charge based on call detail at specific time frame when compared with benefit from Active Price Plan / AO Offer. </t>
  </si>
  <si>
    <t>Customer/frontline complaint if subscriber can’t check quota based on benefit of Active AO Offer from UMB/Network *123#</t>
  </si>
  <si>
    <t xml:space="preserve">ASMM Variance found base. Summary contains "Variance found base on ASMM VS TC base on daily analysis and A&amp;C balance report“ </t>
  </si>
  <si>
    <t xml:space="preserve">User/s usage report (data/voice/SMS) </t>
  </si>
  <si>
    <t xml:space="preserve">LTP stands for Load Tipid Plan. A Hybrid prepaid-postpaid program.
Training issue. RPL flow where subscriber did not received monthly recharge. This is a training issue due to CSR did not validate completely why subs did not receive load and upon checking. It is a valid scenario where subs is still in collection. </t>
  </si>
  <si>
    <t xml:space="preserve">Order cancellation in Hold activity. Script is being used to enable cancel order button
</t>
  </si>
  <si>
    <t>Resetting monthly payment dates on suspended prepaid accounts</t>
  </si>
  <si>
    <t xml:space="preserve">Completing orders that have gotten stuck in an incomplete status
</t>
  </si>
  <si>
    <t>RegexExtractor(extraction_regex =r"""(^|\\D)\d{9}(\\b|\\D)""", unique_indicator = True, integer_indicator = True)</t>
  </si>
  <si>
    <t>Higher TH</t>
  </si>
  <si>
    <t>Full Auto Error on test set</t>
  </si>
  <si>
    <t>Un-enroll AutoPay</t>
  </si>
  <si>
    <t>Cancel Port</t>
  </si>
  <si>
    <t>Complete Port</t>
  </si>
  <si>
    <t>1. N gram - 2 
2. Chi2 - 20%
3. Random Forest - 250 trees</t>
  </si>
  <si>
    <t xml:space="preserve">Unable access data </t>
  </si>
  <si>
    <t>Edit Memo</t>
  </si>
  <si>
    <t>First RC</t>
  </si>
  <si>
    <t>Re-push Order</t>
  </si>
  <si>
    <t>BLDECMPRECON Issue</t>
  </si>
  <si>
    <t>Age_Out</t>
  </si>
  <si>
    <t>Unsync CM CRM</t>
  </si>
  <si>
    <t>Cancel Port In/Out</t>
  </si>
  <si>
    <t>Complete Port In/Out</t>
  </si>
  <si>
    <t>RegexExtractor(extraction_regex =r"""(ORD)-?O-?\\d{6}\\d?\\d?""", remove_char = "-", upper_case = True)</t>
  </si>
  <si>
    <t>Duo Alignment</t>
  </si>
  <si>
    <t>Reconnection Checking</t>
  </si>
  <si>
    <t>BLDECMPRECON</t>
  </si>
  <si>
    <t>PhoneNumberExtractor(exclusion_list = ["requestor phone", "contact phone", "requestor contact","Office Phone","Mobile Phone","Number"])</t>
  </si>
  <si>
    <t>RegexExtractor(extraction_regex =r"""(^|\\D)I?\\d?\\d{10}(\\b|\\D)""",inclusion_list = ["Memo ID"], inclusion_offset = 20, remove_char = " ", upper_case = True)</t>
  </si>
  <si>
    <t>Repush Order Line</t>
  </si>
  <si>
    <t>0.5,0.2</t>
  </si>
  <si>
    <t>0.5 0.5</t>
  </si>
  <si>
    <t>0.65,0.5</t>
  </si>
  <si>
    <t>0.6,0.2</t>
  </si>
  <si>
    <t>RegexExtractor(extraction_regex =r"""Memo\\s{,3}Details\\s{,3}to\\s{,3}Remove:(.+)\\n""",remove_char = "(m|M)emo\\s{,3}(d|D)etails\\s{,3}(T|t)o\\s{,3}(r|R)emove:")</t>
  </si>
  <si>
    <t>RegexExtractor(extraction_regex =r"""((COM\\d)|(DM\\d{2}))-?O-?\\d{6}\\d?\\d?""", remove_char = "-", upper_case = True)</t>
  </si>
  <si>
    <t>Support Group ID</t>
  </si>
  <si>
    <t>Business</t>
  </si>
  <si>
    <t>Flow Name</t>
  </si>
  <si>
    <t>Support Group</t>
  </si>
  <si>
    <t>NBU</t>
  </si>
  <si>
    <t>EPC</t>
  </si>
  <si>
    <t>Usage</t>
  </si>
  <si>
    <t>SGP000000001133</t>
  </si>
  <si>
    <t>SGP000000001130</t>
  </si>
  <si>
    <t>1. N gram - 2 
2. Chi2 - 20%
3. Random Forest - 200 trees</t>
  </si>
  <si>
    <r>
      <rPr>
        <b/>
        <sz val="8"/>
        <color rgb="FF006100"/>
        <rFont val="Calibri"/>
        <family val="2"/>
        <scheme val="minor"/>
      </rPr>
      <t>Trained</t>
    </r>
    <r>
      <rPr>
        <sz val="8"/>
        <color rgb="FF006100"/>
        <rFont val="Calibri"/>
        <family val="2"/>
        <scheme val="minor"/>
      </rPr>
      <t xml:space="preserve">
Desc - 0.4,
Summ - 0.6</t>
    </r>
  </si>
  <si>
    <t>Sprint_Repush</t>
  </si>
  <si>
    <t>Xlcom_Msisdn</t>
  </si>
  <si>
    <t>XlcomMsisdnExtractor(entity_name:="MSISDN", inclusion_list= ["Description:"],inclusion_offset= 4000)</t>
  </si>
  <si>
    <t>TICKET_DATE</t>
  </si>
  <si>
    <t>Reconnection</t>
  </si>
  <si>
    <t>Sprint_Mask Memo</t>
  </si>
  <si>
    <t>Memo_Details_to_Remove</t>
  </si>
  <si>
    <t>Memo_ID</t>
  </si>
  <si>
    <t>RegexExtractor(extraction_regex =r"""(^|\\D)\d{9}(\\b|\\D)""", inclusion_list=["BAN","BAN:"], inclusion_offset = 20, unique_indicator = False, integer_indicator = True)</t>
  </si>
  <si>
    <t>Globe_Duoalignment</t>
  </si>
  <si>
    <t>Multiple</t>
  </si>
  <si>
    <t>SPRINT Prepaid First RC</t>
  </si>
  <si>
    <t>BAN_SUBSCRIBER</t>
  </si>
  <si>
    <t>SGP000000001367</t>
  </si>
  <si>
    <t>Customer_Booking</t>
  </si>
  <si>
    <t>Create Date</t>
  </si>
  <si>
    <t>CreateDateExtractor(timezone_offset = 13)</t>
  </si>
  <si>
    <t>PhoneNumberExtractor(exclusion_list = ["requestor phone", "contact phone", "requestor contact","requestor's phone", "contact's phone", "requestor's contact"], first_digit = 9)</t>
  </si>
  <si>
    <t>Default Values</t>
  </si>
  <si>
    <t>MRFPR</t>
  </si>
  <si>
    <t>0.4,0.3</t>
  </si>
  <si>
    <t>5-32</t>
  </si>
  <si>
    <t>11-25</t>
  </si>
  <si>
    <t>0-1</t>
  </si>
  <si>
    <t>0-0</t>
  </si>
  <si>
    <t>1-9</t>
  </si>
  <si>
    <t>10-37</t>
  </si>
  <si>
    <t>6-17</t>
  </si>
  <si>
    <t>2-11</t>
  </si>
  <si>
    <t>1-5</t>
  </si>
  <si>
    <t>0.7,0.3</t>
  </si>
  <si>
    <t>11-121</t>
  </si>
  <si>
    <t>9-67</t>
  </si>
  <si>
    <t>8-12</t>
  </si>
  <si>
    <t>33-59</t>
  </si>
  <si>
    <t>1-8</t>
  </si>
  <si>
    <t>2-10</t>
  </si>
  <si>
    <t>OC Insufficient Balance</t>
  </si>
  <si>
    <t>USCC</t>
  </si>
  <si>
    <t>Cancel FA</t>
  </si>
  <si>
    <t>Prepaid Customer</t>
  </si>
  <si>
    <t>Registration Issue</t>
  </si>
  <si>
    <t>Customer ID</t>
  </si>
  <si>
    <t>FA_ID</t>
  </si>
  <si>
    <t>0.5,0.4</t>
  </si>
  <si>
    <t>RegexExtractor(entity_name="Customer ID", "inclusion_list"= ["Customer id"],"inclusion_offset":=20, "extraction_regex"= (^|\\D)\\d{9}(\\b|\\D), "unique_indicator": = True, "integer_indicator": = True)</t>
  </si>
  <si>
    <t>Cancel Order</t>
  </si>
  <si>
    <t>Clear PI PTN</t>
  </si>
  <si>
    <t>Zero RC</t>
  </si>
  <si>
    <t>Linkage Wrapper</t>
  </si>
  <si>
    <t>Both</t>
  </si>
  <si>
    <t>Billing Rejects</t>
  </si>
  <si>
    <t>Defect ID</t>
  </si>
  <si>
    <t>0.6, 0.5</t>
  </si>
  <si>
    <t>Yaniv</t>
  </si>
  <si>
    <t>Lead</t>
  </si>
  <si>
    <t>Airtel</t>
  </si>
  <si>
    <t>Maya</t>
  </si>
  <si>
    <t>0.4,0.1</t>
  </si>
  <si>
    <t>0.6,0.4</t>
  </si>
  <si>
    <t>0.5, 0.3</t>
  </si>
  <si>
    <t>Sprint Cancel Order</t>
  </si>
  <si>
    <t>Sprint Clear PI PTN</t>
  </si>
  <si>
    <t>SPRINT Prepaid Zero RC</t>
  </si>
  <si>
    <t>SPRINT Linkage Wrapper</t>
  </si>
  <si>
    <t>TefArg</t>
  </si>
  <si>
    <t>UTS querying service</t>
  </si>
  <si>
    <t>Accounts' Status</t>
  </si>
  <si>
    <t>Bell Canada</t>
  </si>
  <si>
    <t>XLCom</t>
  </si>
  <si>
    <t>0.6, 0.3</t>
  </si>
  <si>
    <t>XlcomMsisdnExtractor(entity_name:="MSISDN", inclusion_list= ["Description:"],inclusion_offset= 4000, exclusion_list=["VLR address"])</t>
  </si>
  <si>
    <t>0.6,0.3</t>
  </si>
  <si>
    <t>MDN</t>
  </si>
  <si>
    <t>PhoneNumberExtractor(inclusion_list = ["MDN"])</t>
  </si>
  <si>
    <t>A story was opened in Jira by Galit</t>
  </si>
  <si>
    <t>DevOps in Amily</t>
  </si>
  <si>
    <t>1. RegexExtractor(entity_name="Defect ID", "inclusion_list"= ["BILLING_CYCLE","BILL_CYCLE","defect","hold"],"inclusion_offset":=100, "extraction_regex"= \\D\\d?\\d?\\d{5}(\\D|$), "integer_indicator": = True)
2. RegexExtractor(entity_name="Defect ID", "extraction_regex"= (D(\\#?))\\d?\\d?\\d{5}(\\D|$), "integer_indicator": = True)</t>
  </si>
  <si>
    <t>0.7,0.15</t>
  </si>
  <si>
    <t>Prepaid Registration</t>
  </si>
  <si>
    <t>On hold</t>
  </si>
  <si>
    <t>Yaniv, Maya</t>
  </si>
  <si>
    <t>PREPAID CUSTOMER WITHOUT SERVICE</t>
  </si>
  <si>
    <t>Default</t>
  </si>
  <si>
    <t>ESN Blacklist</t>
  </si>
  <si>
    <t>USCC ESN</t>
  </si>
  <si>
    <t>Rejects</t>
  </si>
  <si>
    <t>RegexExtractor(entity_name="ESN/MEID", "inclusion_list"= ["esn","meid","esn/meid"],"inclusion_offset":=20, "extraction_regex"= (^|\\D)\\d?\\d{17}(\\b|\\D),  "integer_indicator": = True)</t>
  </si>
  <si>
    <t>Prod. - Activated</t>
  </si>
  <si>
    <t>Prod. - Deactivated</t>
  </si>
  <si>
    <t>Dev.</t>
  </si>
  <si>
    <t>Dev. - Testing</t>
  </si>
  <si>
    <t>Descoped</t>
  </si>
  <si>
    <t>Cluster validation using partially labeld data applied on documents</t>
  </si>
  <si>
    <r>
      <rPr>
        <b/>
        <sz val="13"/>
        <color theme="0"/>
        <rFont val="Calibri"/>
        <family val="2"/>
        <scheme val="minor"/>
      </rPr>
      <t xml:space="preserve">Account  </t>
    </r>
    <r>
      <rPr>
        <b/>
        <sz val="14"/>
        <color theme="0"/>
        <rFont val="Calibri"/>
        <family val="2"/>
        <scheme val="minor"/>
      </rPr>
      <t xml:space="preserve">
            </t>
    </r>
    <r>
      <rPr>
        <b/>
        <sz val="13"/>
        <color theme="0"/>
        <rFont val="Calibri"/>
        <family val="2"/>
        <scheme val="minor"/>
      </rPr>
      <t xml:space="preserve">   Status</t>
    </r>
  </si>
  <si>
    <t>E2E Automation Flows</t>
  </si>
  <si>
    <t>Dispatch Flows</t>
  </si>
  <si>
    <t>Bulk Barring</t>
  </si>
  <si>
    <t>DATA, File</t>
  </si>
  <si>
    <t>Globe_Bulkbarring</t>
  </si>
  <si>
    <t>GlobeBulkbarringExtractor()</t>
  </si>
  <si>
    <t>Order Not Generated</t>
  </si>
  <si>
    <t>Amdocs SEVA</t>
  </si>
  <si>
    <t>Recycle Event issue</t>
  </si>
  <si>
    <t>Accelerate Device Financing</t>
  </si>
  <si>
    <t>EOM</t>
  </si>
  <si>
    <t>AR1JRNLEXT Running Long</t>
  </si>
  <si>
    <t>ESN_MEID</t>
  </si>
  <si>
    <t>Tef Argentina</t>
  </si>
  <si>
    <t>Quota NUD</t>
  </si>
  <si>
    <t>DateTimeExtractor</t>
  </si>
  <si>
    <t>XlcomSocDictExtractor</t>
  </si>
  <si>
    <t>SOCCD</t>
  </si>
  <si>
    <t>ISSUE_DATE</t>
  </si>
  <si>
    <t>XlcomSocDictExtractor(entity_name="SOCCD")</t>
  </si>
  <si>
    <t xml:space="preserve"> DateTimeExtractor(entity_name= "ISSUE_DATE", inclusion_list: =["cust sudah rec","aktivasi","activation date","waktu","tf","time frame","Time Frame","Time frame","tanggal","t.frime","kejadian"], inclusion_offset:=40,  format_to_extract= 2, unique_indicator =  false)</t>
  </si>
  <si>
    <t>SR and Task closure</t>
  </si>
  <si>
    <t>SR and Task Closure</t>
  </si>
  <si>
    <t>PhoneNumberExtractor("icnlusion_list" = ["PTN"], inclusion_offset = 30)</t>
  </si>
  <si>
    <t>0.7, 0.25</t>
  </si>
  <si>
    <t xml:space="preserve">Pending for Activation     </t>
  </si>
  <si>
    <t>Pending for Activation</t>
  </si>
  <si>
    <t>Mobile_No</t>
  </si>
  <si>
    <t>Date</t>
  </si>
  <si>
    <t>Flows</t>
  </si>
  <si>
    <t>May come in an attached .zip file</t>
  </si>
  <si>
    <t>SR Number</t>
  </si>
  <si>
    <t>LOB</t>
  </si>
  <si>
    <t>RegexExtractor("entity_name"="\\bFA\\b", "FA_ID", "inclusion_list": = ["FA_ID","FA ID","Cancel FA","cancel the following FA","please close FA","FA Cancel"], "inclusion_offset"=80,  "exclusion_list"= ["Customer id"],"exclusion_offset":=20, "extraction_regex"= "(^|\\D)\\d{9}(\\b|\\D)", "integer_indicator"= True)</t>
  </si>
  <si>
    <t>RegexExtractor(entity_name="Customer ID", "inclusion_list"= ["Customer id"],"inclusion_offset":=20, "exclusion_list": = ["\\bFA\\b","FA_ID","FA ID","Cancel FA","cancel the following FA","please close FA","FA Cancel"], "exclusion_offset"=20,  "extraction_regex"= (^|\\D)\\d{9}(\\b|\\D), "unique_indicator": = True, "integer_indicator": = True)</t>
  </si>
  <si>
    <t>Cycle_Month</t>
  </si>
  <si>
    <t>Cycle_Year</t>
  </si>
  <si>
    <t>if date range - last date</t>
  </si>
  <si>
    <t>usually prefaced by "Occurrence Date"</t>
  </si>
  <si>
    <t>RegexExtractor( "entity_name"= "SR Number", "extraction_regex"="(?&lt;=\D)\d{8}(?=(\D|$))")</t>
  </si>
  <si>
    <t>Maya KT</t>
  </si>
  <si>
    <t>Started going through the Amily web service code</t>
  </si>
  <si>
    <t>ListExtractor( "entity_name"="LOB", "extraction_regex"= (\\bABGB\\b)|(\\bDTH\\b)|(\\bMobility\\b)|(\\bTelemedia\\b)|(\\bIT\\b), "inclusion_list"=["LOB"], "default_value"=['telemedia'])</t>
  </si>
  <si>
    <t>PendingForActivationExtractor</t>
  </si>
  <si>
    <t>AirtelPendingForActivationExtractor("entity_name" = ["Mobile_No"])</t>
  </si>
  <si>
    <t>Limitation to number of values parsed - Ask Bharati/Hetal</t>
  </si>
  <si>
    <t>Open Tasks - Non Dev</t>
  </si>
  <si>
    <t>Customer_ID</t>
  </si>
  <si>
    <t>NMS Release Scenario</t>
  </si>
  <si>
    <t>From_Number_To_Number</t>
  </si>
  <si>
    <t>Rejects in Confirmation</t>
  </si>
  <si>
    <t>0.5, 0.15</t>
  </si>
  <si>
    <t>SRM Extraction</t>
  </si>
  <si>
    <t>Cricket Cancel Port In Eligibility Check</t>
  </si>
  <si>
    <t>Mobile_Number</t>
  </si>
  <si>
    <t>RegexExtractor: "entity_name": "Mobile_No",   "extraction_regex":"((?&lt;=\\D)|(?&lt;=\\b)|(?&lt;=''))[7-9](\\d{9})((?=\\b)|(?=\\s)|(?=\\D))",   "integer_indicator": true,"replace_char": ["_"," _ "], "exclusion_list": ["sfo"],   "exclusion_offset": 20</t>
  </si>
  <si>
    <t xml:space="preserve">RegexExtractor: "entity_name": "Mobile_No",   "extraction_regex":"((?&lt;=\\D)|(?&lt;=\\b)|(?&lt;=''))[7-9](\\d{9})((?=\\b)|(?=\\s)|(?=\\D))",   "integer_indicator": true,   "exclusion_list": ["sfo"],   "exclusion_offset": 20 </t>
  </si>
  <si>
    <t>Sprint_API</t>
  </si>
  <si>
    <t>Sprint_DRF</t>
  </si>
  <si>
    <t>Sprint_MonAdjust</t>
  </si>
  <si>
    <t>P2P Request Deletion</t>
  </si>
  <si>
    <t>P2P ID Creation</t>
  </si>
  <si>
    <t>Portal Orders Payment Statistics for Last Hour</t>
  </si>
  <si>
    <t>CSM Pending Payments From CSPYMREPRCSS</t>
  </si>
  <si>
    <t>airtel_p2p_id_creation_extractor</t>
  </si>
  <si>
    <t>0.5, 0.4</t>
  </si>
  <si>
    <t>0.5,0.25</t>
  </si>
  <si>
    <t>0.4,0.2</t>
  </si>
  <si>
    <t>Rejects in Billing</t>
  </si>
  <si>
    <t>0.5, 0.2</t>
  </si>
  <si>
    <t>Request_ID</t>
  </si>
  <si>
    <t>RegexExtractor("entity_name": "Request_ID",   "extraction_regex":"((?&lt;=\\D)|(?&lt;=\\b)|(?&lt;=''))(\\d{7})((?=\\b)|(?=\\s)|(?=\\D))",   "integer_indicator": true)</t>
  </si>
  <si>
    <t>RegexExtractor("entity_name": "Mobile_No",   "extraction_regex":"((?&lt;=\\D)|(?&lt;=\\b)|(?&lt;=''))[7-9](\\d{9})((?=\\b)|(?=\\s)|(?=\\D))",   "integer_indicator": true, "exclusion_list": ["regards"],   "exclusion_offset": 500)</t>
  </si>
  <si>
    <t>BLDECOMSUBTX</t>
  </si>
  <si>
    <t>Rejects in billing</t>
  </si>
  <si>
    <t>0.25, 0.2</t>
  </si>
  <si>
    <t>GlobeSrmExtractionExtractor</t>
  </si>
  <si>
    <t>Request_Type</t>
  </si>
  <si>
    <t>Resource_Type</t>
  </si>
  <si>
    <t>Resource</t>
  </si>
  <si>
    <t>Category</t>
  </si>
  <si>
    <t>Area_Name</t>
  </si>
  <si>
    <t>Post_Pre</t>
  </si>
  <si>
    <t>Date_From</t>
  </si>
  <si>
    <t>Date_To</t>
  </si>
  <si>
    <t>RegexExtractor("entity_name"= "Request_Type", "extraction_regex"= "(?&lt;=Request\\sType(?!\\n)).*", "remove_char"=":", "replace_char"= ["^\\s",""])</t>
  </si>
  <si>
    <t>GlobeSrmExtractionExtractor()</t>
  </si>
  <si>
    <t>RegexExtractor("entity_name"= "Resource_Type", "extraction_regex"= "(?&lt;=Resource\\sType(?!\\n)).*", "remove_char"=":", "replace_char"= ["^\\s",""])</t>
  </si>
  <si>
    <t>RegexExtractor("entity_name"= "Area_Name", "extraction_regex"= "(?&lt;=Area\\sName(?!\\n)).*", "remove_char"=":", "replace_char"= ["^\\s",""])</t>
  </si>
  <si>
    <t>RegexExtractor("entity_name"= "Date_From", "extraction_regex"= "(?&lt;=Date\\sFrom(?!\\n)).*", "remove_char"=":", "replace_char"= ["^\\s",""])</t>
  </si>
  <si>
    <t>RegexExtractor("entity_name"= "Date_To", "extraction_regex"= "(?&lt;=Date\\sTo(?!\\n)).*", "remove_char"=":", "replace_char"= ["^\\s",""])</t>
  </si>
  <si>
    <t>RegexExtractor("entity_name"= "Resource", "extraction_regex"= "(?&lt;=Resource)(:?)(\\s?)\\d.*", "remove_char"=":", "replace_char"= ["^\\s",""])</t>
  </si>
  <si>
    <t>RegexExtractor("entity_name"= "Status", "extraction_regex"= "(?&lt;=Status(?!\\n)).*", "remove_char"=":", "replace_char"= ["^\\s",""])</t>
  </si>
  <si>
    <t>RegexExtractor("entity_name"= "Category", "extraction_regex"= "(?&lt;=Category(?!\\n)).*", "remove_char"=":", "replace_char"= ["^\\s",""])</t>
  </si>
  <si>
    <t>RegexExtractor("entity_name"= "Post_Pre", "extraction_regex"= "(?&lt;=Post\\s\/\\sPre(?!\\n)).*", "remove_char"=":", "replace_char"= ["^\\s",""])</t>
  </si>
  <si>
    <t>PULL BILLS AFP</t>
  </si>
  <si>
    <t>Overage Notification</t>
  </si>
  <si>
    <t>RC Drop</t>
  </si>
  <si>
    <t>Labeling</t>
  </si>
  <si>
    <t>Stuck Order</t>
  </si>
  <si>
    <t>Barring</t>
  </si>
  <si>
    <t>Unbarring</t>
  </si>
  <si>
    <t>Unknown</t>
  </si>
  <si>
    <t>MetroPCS</t>
  </si>
  <si>
    <t>ADD User</t>
  </si>
  <si>
    <t>DELETE User</t>
  </si>
  <si>
    <t>UPDATE User</t>
  </si>
  <si>
    <t>0.6,0.35</t>
  </si>
  <si>
    <t>0.55,0.2</t>
  </si>
  <si>
    <t>AFP_NAME</t>
  </si>
  <si>
    <t>RegexExtractor(entity_name="AFP_NAME", "extraction_regex"= "DD.USC.\\d{4}.\\d{2}.\\d{4}.\\*.afp")</t>
  </si>
  <si>
    <t>0.5,0.3</t>
  </si>
  <si>
    <t>Attachment</t>
  </si>
  <si>
    <t>UsccPrepaidRegistrationExtractor</t>
  </si>
  <si>
    <t>UsccPrepaidRegistrationExtractor(entit_name="Attachment")</t>
  </si>
  <si>
    <t>Recurring Failed</t>
  </si>
  <si>
    <t>Task Closure</t>
  </si>
  <si>
    <t>Order_number</t>
  </si>
  <si>
    <t>Metro PCS</t>
  </si>
  <si>
    <t>To start</t>
  </si>
  <si>
    <t>RC</t>
  </si>
  <si>
    <r>
      <rPr>
        <sz val="11"/>
        <color rgb="FFFF0000"/>
        <rFont val="Calibri"/>
        <family val="2"/>
        <scheme val="minor"/>
      </rPr>
      <t>STOP (only up to 2 hrs work can be completed)</t>
    </r>
    <r>
      <rPr>
        <sz val="11"/>
        <rFont val="Calibri"/>
        <family val="2"/>
        <scheme val="minor"/>
      </rPr>
      <t xml:space="preserve">
Data Modelling required for </t>
    </r>
    <r>
      <rPr>
        <i/>
        <sz val="11"/>
        <rFont val="Calibri"/>
        <family val="2"/>
        <scheme val="minor"/>
      </rPr>
      <t>Misaligned Component - MRF</t>
    </r>
    <r>
      <rPr>
        <sz val="11"/>
        <rFont val="Calibri"/>
        <family val="2"/>
        <scheme val="minor"/>
      </rPr>
      <t xml:space="preserve"> flow</t>
    </r>
  </si>
  <si>
    <t>STOP (only up to 2 hrs work can be completed)</t>
  </si>
  <si>
    <r>
      <rPr>
        <sz val="11"/>
        <color rgb="FFFF0000"/>
        <rFont val="Calibri"/>
        <family val="2"/>
        <scheme val="minor"/>
      </rPr>
      <t>STOP (only up to 2 hrs work can be completed)</t>
    </r>
    <r>
      <rPr>
        <sz val="11"/>
        <color rgb="FF00B050"/>
        <rFont val="Calibri"/>
        <family val="2"/>
        <scheme val="minor"/>
      </rPr>
      <t xml:space="preserve">
Uploaded 2 dispatch flows</t>
    </r>
  </si>
  <si>
    <r>
      <rPr>
        <sz val="11"/>
        <color rgb="FFFF0000"/>
        <rFont val="Calibri"/>
        <family val="2"/>
        <scheme val="minor"/>
      </rPr>
      <t>STOP (only up to 2 hrs work can be completed)</t>
    </r>
    <r>
      <rPr>
        <sz val="11"/>
        <color theme="0" tint="-0.499984740745262"/>
        <rFont val="Calibri"/>
        <family val="2"/>
        <scheme val="minor"/>
      </rPr>
      <t xml:space="preserve">
"User ID / Password Issue" flow modelled - Waiting for Krrish and AO configurations on site</t>
    </r>
  </si>
  <si>
    <r>
      <rPr>
        <i/>
        <sz val="11"/>
        <color rgb="FFFF0000"/>
        <rFont val="Calibri"/>
        <family val="2"/>
        <scheme val="minor"/>
      </rPr>
      <t>STOP (only up to 2 hrs work can be completed)</t>
    </r>
    <r>
      <rPr>
        <i/>
        <sz val="11"/>
        <color theme="1"/>
        <rFont val="Calibri"/>
        <family val="2"/>
        <scheme val="minor"/>
      </rPr>
      <t xml:space="preserve">
Wrong Charging, Quota Not Update - waiting for UTS-Krrish resolve, Unsync - needs remodeling per new format</t>
    </r>
  </si>
  <si>
    <r>
      <rPr>
        <sz val="11"/>
        <color rgb="FFFF0000"/>
        <rFont val="Calibri"/>
        <family val="2"/>
        <scheme val="minor"/>
      </rPr>
      <t>STOP (only up to 2 hrs work can be completed)</t>
    </r>
    <r>
      <rPr>
        <sz val="11"/>
        <color theme="1"/>
        <rFont val="Calibri"/>
        <family val="2"/>
        <scheme val="minor"/>
      </rPr>
      <t xml:space="preserve">
Pending full classification by Rodrigo + Decision which flows to model - Ongoing</t>
    </r>
  </si>
  <si>
    <r>
      <t xml:space="preserve">High priority
</t>
    </r>
    <r>
      <rPr>
        <sz val="11"/>
        <color rgb="FF00B050"/>
        <rFont val="Calibri"/>
        <family val="2"/>
        <scheme val="minor"/>
      </rPr>
      <t>Deployed "Order Not Generated"</t>
    </r>
    <r>
      <rPr>
        <sz val="11"/>
        <color theme="1"/>
        <rFont val="Calibri"/>
        <family val="2"/>
        <scheme val="minor"/>
      </rPr>
      <t>, Attachment config. For "Order Not Generated", Parsing - new atom for "NMS Release Scenario"</t>
    </r>
  </si>
  <si>
    <t>0.3 monthly</t>
  </si>
  <si>
    <t>0.25 
one time</t>
  </si>
  <si>
    <t>CricketEligibilityCheck</t>
  </si>
  <si>
    <t>Telkomsel</t>
  </si>
  <si>
    <t>Notify Billing</t>
  </si>
  <si>
    <t>Subscriber status check</t>
  </si>
  <si>
    <t>Subscriber refresh / alignment</t>
  </si>
  <si>
    <t>Resume MSISDN - AC status</t>
  </si>
  <si>
    <t>Trained
Desc - 0.5,
Summ - 0.5</t>
  </si>
  <si>
    <t>0.8,0.3</t>
  </si>
  <si>
    <t>0.7, 0.3</t>
  </si>
  <si>
    <t>0.6,0.1</t>
  </si>
  <si>
    <t>No impact of full automation that is FP</t>
  </si>
  <si>
    <t>Impact on full automation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</si>
</sst>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 d\,\ yyyy;@"/>
  </numFmts>
  <fonts count="7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color theme="5" tint="0.79998168889431442"/>
      <name val="Calibri"/>
      <family val="2"/>
      <scheme val="minor"/>
    </font>
    <font>
      <sz val="11"/>
      <color rgb="FF006100"/>
      <name val="Calibri"/>
      <family val="2"/>
      <scheme val="minor"/>
    </font>
    <font>
      <sz val="8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rgb="FF0061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9C6500"/>
      <name val="Calibri"/>
      <family val="2"/>
      <scheme val="minor"/>
    </font>
    <font>
      <sz val="7"/>
      <color theme="1"/>
      <name val="Calibri"/>
      <family val="2"/>
      <scheme val="minor"/>
    </font>
    <font>
      <sz val="7"/>
      <color rgb="FF00610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8"/>
      <color rgb="FF00610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theme="0"/>
      <name val="Calibri"/>
      <family val="2"/>
      <scheme val="minor"/>
    </font>
    <font>
      <b/>
      <sz val="8"/>
      <color theme="5" tint="-0.249977111117893"/>
      <name val="Calibri"/>
      <family val="2"/>
      <scheme val="minor"/>
    </font>
    <font>
      <b/>
      <sz val="8"/>
      <color theme="3" tint="0.39997558519241921"/>
      <name val="Calibri"/>
      <family val="2"/>
      <scheme val="minor"/>
    </font>
    <font>
      <i/>
      <sz val="8"/>
      <color theme="1"/>
      <name val="Calibri"/>
      <family val="2"/>
      <scheme val="minor"/>
    </font>
    <font>
      <i/>
      <sz val="7"/>
      <color rgb="FF006100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"/>
      <color theme="1"/>
      <name val="Calibri"/>
      <family val="2"/>
      <scheme val="minor"/>
    </font>
    <font>
      <b/>
      <sz val="8"/>
      <color theme="7" tint="-0.499984740745262"/>
      <name val="Calibri"/>
      <family val="2"/>
      <scheme val="minor"/>
    </font>
    <font>
      <sz val="12"/>
      <color theme="2" tint="-9.9978637043366805E-2"/>
      <name val="Calibri"/>
      <family val="2"/>
      <scheme val="minor"/>
    </font>
    <font>
      <sz val="10"/>
      <color theme="2" tint="-9.9978637043366805E-2"/>
      <name val="Calibri"/>
      <family val="2"/>
      <scheme val="minor"/>
    </font>
    <font>
      <sz val="11"/>
      <color rgb="FF00B05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0070C0"/>
      <name val="Calibri"/>
      <family val="2"/>
      <scheme val="minor"/>
    </font>
    <font>
      <b/>
      <sz val="8"/>
      <color rgb="FF00B050"/>
      <name val="Calibri"/>
      <family val="2"/>
      <scheme val="minor"/>
    </font>
    <font>
      <b/>
      <sz val="8"/>
      <color rgb="FFC0000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2"/>
      <color rgb="FFFFC00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24"/>
      <color rgb="FF00B050"/>
      <name val="Calibri"/>
      <family val="2"/>
      <scheme val="minor"/>
    </font>
    <font>
      <b/>
      <sz val="24"/>
      <color rgb="FFFFC00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4"/>
      <color rgb="FF0070C0"/>
      <name val="Calibri"/>
      <family val="2"/>
      <scheme val="minor"/>
    </font>
    <font>
      <b/>
      <sz val="24"/>
      <color rgb="FFC0000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color rgb="FF00B050"/>
      <name val="Calibri"/>
      <family val="2"/>
      <scheme val="minor"/>
    </font>
    <font>
      <b/>
      <sz val="16"/>
      <color rgb="FFFFC000"/>
      <name val="Calibri"/>
      <family val="2"/>
      <scheme val="minor"/>
    </font>
    <font>
      <b/>
      <sz val="16"/>
      <color rgb="FF0070C0"/>
      <name val="Calibri"/>
      <family val="2"/>
      <scheme val="minor"/>
    </font>
    <font>
      <b/>
      <sz val="16"/>
      <color rgb="FFC00000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8"/>
      <color rgb="FF9C0006"/>
      <name val="Calibri"/>
      <family val="2"/>
      <scheme val="minor"/>
    </font>
    <font>
      <sz val="10"/>
      <color rgb="FFFF000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797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EDDFF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7CE"/>
      </patternFill>
    </fill>
  </fills>
  <borders count="33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4.9989318521683403E-2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/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/>
      <diagonal/>
    </border>
    <border>
      <left/>
      <right style="thin">
        <color theme="0" tint="-4.9989318521683403E-2"/>
      </right>
      <top/>
      <bottom/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 style="hair">
        <color theme="0" tint="-0.14993743705557422"/>
      </left>
      <right style="hair">
        <color theme="0" tint="-0.14993743705557422"/>
      </right>
      <top/>
      <bottom/>
      <diagonal/>
    </border>
    <border diagonalUp="1">
      <left/>
      <right style="hair">
        <color theme="0" tint="-0.14993743705557422"/>
      </right>
      <top/>
      <bottom/>
      <diagonal style="hair">
        <color theme="0" tint="-0.14990691854609822"/>
      </diagonal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6">
    <xf numFmtId="0" fontId="0" fillId="0" borderId="0"/>
    <xf numFmtId="0" fontId="9" fillId="0" borderId="0" applyNumberFormat="0" applyFill="0" applyBorder="0" applyAlignment="0" applyProtection="0"/>
    <xf numFmtId="0" fontId="13" fillId="10" borderId="0" applyNumberFormat="0" applyBorder="0" applyAlignment="0" applyProtection="0"/>
    <xf numFmtId="0" fontId="15" fillId="11" borderId="0" applyNumberFormat="0" applyBorder="0" applyAlignment="0" applyProtection="0"/>
    <xf numFmtId="9" fontId="16" fillId="0" borderId="0" applyFont="0" applyFill="0" applyBorder="0" applyAlignment="0" applyProtection="0"/>
    <xf numFmtId="0" fontId="66" fillId="19" borderId="0" applyNumberFormat="0" applyBorder="0" applyAlignment="0" applyProtection="0"/>
  </cellStyleXfs>
  <cellXfs count="49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3" fillId="0" borderId="0" xfId="0" applyFont="1"/>
    <xf numFmtId="0" fontId="2" fillId="4" borderId="0" xfId="0" applyFont="1" applyFill="1" applyAlignment="1">
      <alignment horizontal="center"/>
    </xf>
    <xf numFmtId="0" fontId="4" fillId="0" borderId="0" xfId="0" applyFont="1"/>
    <xf numFmtId="0" fontId="0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Fill="1"/>
    <xf numFmtId="0" fontId="8" fillId="0" borderId="0" xfId="0" applyFont="1" applyFill="1"/>
    <xf numFmtId="0" fontId="3" fillId="0" borderId="0" xfId="0" applyFont="1" applyFill="1" applyAlignment="1">
      <alignment horizontal="center"/>
    </xf>
    <xf numFmtId="0" fontId="9" fillId="0" borderId="0" xfId="1"/>
    <xf numFmtId="0" fontId="10" fillId="2" borderId="0" xfId="0" applyFont="1" applyFill="1"/>
    <xf numFmtId="0" fontId="7" fillId="0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6" borderId="0" xfId="0" applyFont="1" applyFill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7" fillId="8" borderId="2" xfId="0" applyFont="1" applyFill="1" applyBorder="1" applyAlignment="1">
      <alignment horizontal="center"/>
    </xf>
    <xf numFmtId="0" fontId="7" fillId="9" borderId="1" xfId="0" applyFont="1" applyFill="1" applyBorder="1" applyAlignment="1">
      <alignment horizontal="center"/>
    </xf>
    <xf numFmtId="0" fontId="4" fillId="0" borderId="0" xfId="0" applyFont="1" applyFill="1"/>
    <xf numFmtId="0" fontId="11" fillId="7" borderId="1" xfId="0" applyFont="1" applyFill="1" applyBorder="1" applyAlignment="1">
      <alignment horizontal="center"/>
    </xf>
    <xf numFmtId="0" fontId="12" fillId="9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13" fillId="10" borderId="0" xfId="2"/>
    <xf numFmtId="0" fontId="14" fillId="5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8" fillId="10" borderId="3" xfId="2" applyFont="1" applyBorder="1"/>
    <xf numFmtId="0" fontId="19" fillId="0" borderId="0" xfId="0" applyFont="1"/>
    <xf numFmtId="0" fontId="20" fillId="11" borderId="5" xfId="3" applyFont="1" applyBorder="1" applyAlignment="1">
      <alignment horizontal="center"/>
    </xf>
    <xf numFmtId="0" fontId="19" fillId="0" borderId="0" xfId="0" applyFont="1" applyAlignment="1">
      <alignment horizontal="center" vertical="center"/>
    </xf>
    <xf numFmtId="0" fontId="9" fillId="12" borderId="0" xfId="1" applyFill="1" applyAlignment="1">
      <alignment horizontal="center"/>
    </xf>
    <xf numFmtId="0" fontId="18" fillId="10" borderId="3" xfId="2" applyFont="1" applyBorder="1" applyAlignment="1">
      <alignment horizontal="center"/>
    </xf>
    <xf numFmtId="0" fontId="19" fillId="0" borderId="3" xfId="2" applyFont="1" applyFill="1" applyBorder="1" applyAlignment="1">
      <alignment vertical="center"/>
    </xf>
    <xf numFmtId="0" fontId="18" fillId="10" borderId="3" xfId="2" applyFont="1" applyBorder="1" applyAlignment="1">
      <alignment horizontal="center" vertical="center"/>
    </xf>
    <xf numFmtId="0" fontId="19" fillId="0" borderId="0" xfId="2" applyFont="1" applyFill="1" applyBorder="1" applyAlignment="1">
      <alignment vertical="center"/>
    </xf>
    <xf numFmtId="0" fontId="22" fillId="10" borderId="3" xfId="2" applyFont="1" applyBorder="1" applyAlignment="1">
      <alignment wrapText="1"/>
    </xf>
    <xf numFmtId="0" fontId="21" fillId="0" borderId="3" xfId="2" applyFont="1" applyFill="1" applyBorder="1" applyAlignment="1">
      <alignment vertical="center"/>
    </xf>
    <xf numFmtId="0" fontId="2" fillId="2" borderId="0" xfId="0" applyFont="1" applyFill="1" applyAlignment="1">
      <alignment horizontal="center"/>
    </xf>
    <xf numFmtId="0" fontId="4" fillId="8" borderId="0" xfId="0" applyFont="1" applyFill="1" applyAlignment="1">
      <alignment horizontal="left" vertical="center"/>
    </xf>
    <xf numFmtId="0" fontId="1" fillId="8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left" vertical="center"/>
    </xf>
    <xf numFmtId="0" fontId="3" fillId="8" borderId="0" xfId="0" applyFont="1" applyFill="1" applyAlignment="1">
      <alignment horizontal="center" vertical="center"/>
    </xf>
    <xf numFmtId="0" fontId="1" fillId="8" borderId="0" xfId="0" applyFont="1" applyFill="1"/>
    <xf numFmtId="0" fontId="22" fillId="10" borderId="3" xfId="2" applyFont="1" applyBorder="1" applyAlignment="1">
      <alignment vertical="center" wrapText="1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8" fillId="10" borderId="7" xfId="2" applyFont="1" applyBorder="1" applyAlignment="1">
      <alignment horizontal="center" vertical="center" wrapText="1"/>
    </xf>
    <xf numFmtId="0" fontId="21" fillId="0" borderId="3" xfId="2" applyFont="1" applyFill="1" applyBorder="1" applyAlignment="1">
      <alignment vertical="center" wrapText="1"/>
    </xf>
    <xf numFmtId="0" fontId="1" fillId="0" borderId="0" xfId="0" applyFont="1" applyBorder="1"/>
    <xf numFmtId="0" fontId="1" fillId="0" borderId="0" xfId="0" applyFont="1" applyAlignment="1">
      <alignment vertical="top"/>
    </xf>
    <xf numFmtId="0" fontId="2" fillId="2" borderId="0" xfId="0" applyFont="1" applyFill="1" applyAlignment="1">
      <alignment horizontal="center"/>
    </xf>
    <xf numFmtId="0" fontId="1" fillId="0" borderId="11" xfId="0" applyFont="1" applyBorder="1"/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20" fillId="11" borderId="7" xfId="3" applyFont="1" applyBorder="1" applyAlignment="1">
      <alignment horizontal="center" vertical="center" wrapText="1"/>
    </xf>
    <xf numFmtId="0" fontId="1" fillId="0" borderId="0" xfId="0" applyFont="1" applyAlignment="1">
      <alignment horizontal="center" vertical="top"/>
    </xf>
    <xf numFmtId="0" fontId="4" fillId="0" borderId="0" xfId="0" applyFont="1" applyAlignment="1">
      <alignment vertical="top"/>
    </xf>
    <xf numFmtId="0" fontId="2" fillId="2" borderId="0" xfId="0" applyFont="1" applyFill="1" applyAlignment="1">
      <alignment horizontal="center"/>
    </xf>
    <xf numFmtId="164" fontId="3" fillId="0" borderId="0" xfId="0" applyNumberFormat="1" applyFont="1" applyAlignment="1">
      <alignment horizontal="center" vertical="center"/>
    </xf>
    <xf numFmtId="0" fontId="5" fillId="8" borderId="0" xfId="0" applyFont="1" applyFill="1"/>
    <xf numFmtId="10" fontId="3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left" vertical="center" wrapText="1"/>
    </xf>
    <xf numFmtId="9" fontId="3" fillId="0" borderId="0" xfId="0" applyNumberFormat="1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10" fontId="3" fillId="0" borderId="0" xfId="0" applyNumberFormat="1" applyFont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left" vertical="top" wrapText="1"/>
    </xf>
    <xf numFmtId="0" fontId="18" fillId="10" borderId="7" xfId="2" applyFont="1" applyBorder="1" applyAlignment="1">
      <alignment horizontal="center"/>
    </xf>
    <xf numFmtId="0" fontId="18" fillId="10" borderId="0" xfId="2" applyFont="1" applyBorder="1" applyAlignment="1">
      <alignment horizontal="center"/>
    </xf>
    <xf numFmtId="0" fontId="4" fillId="0" borderId="0" xfId="0" applyFont="1" applyAlignment="1">
      <alignment horizontal="left" vertical="top"/>
    </xf>
    <xf numFmtId="0" fontId="18" fillId="10" borderId="7" xfId="2" applyFont="1" applyBorder="1" applyAlignment="1">
      <alignment horizontal="center" vertical="center" wrapText="1"/>
    </xf>
    <xf numFmtId="0" fontId="3" fillId="0" borderId="0" xfId="0" applyFont="1" applyAlignment="1">
      <alignment horizontal="left" vertical="top"/>
    </xf>
    <xf numFmtId="10" fontId="3" fillId="0" borderId="0" xfId="0" applyNumberFormat="1" applyFont="1" applyAlignment="1">
      <alignment horizontal="center" vertical="center"/>
    </xf>
    <xf numFmtId="0" fontId="18" fillId="10" borderId="7" xfId="2" applyFont="1" applyBorder="1" applyAlignment="1">
      <alignment horizontal="center" vertical="center" wrapText="1"/>
    </xf>
    <xf numFmtId="0" fontId="18" fillId="10" borderId="0" xfId="2" applyFont="1" applyBorder="1" applyAlignment="1">
      <alignment horizontal="center"/>
    </xf>
    <xf numFmtId="0" fontId="30" fillId="0" borderId="0" xfId="3" applyFont="1" applyFill="1" applyBorder="1" applyAlignment="1">
      <alignment horizontal="center" vertical="center"/>
    </xf>
    <xf numFmtId="0" fontId="30" fillId="0" borderId="0" xfId="2" applyFont="1" applyFill="1" applyBorder="1" applyAlignment="1">
      <alignment horizontal="center" vertical="center"/>
    </xf>
    <xf numFmtId="0" fontId="31" fillId="0" borderId="0" xfId="2" applyFont="1" applyFill="1" applyBorder="1" applyAlignment="1">
      <alignment horizontal="center" vertical="center"/>
    </xf>
    <xf numFmtId="0" fontId="20" fillId="11" borderId="0" xfId="3" applyFont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18" fillId="10" borderId="7" xfId="2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18" fillId="10" borderId="4" xfId="2" applyFont="1" applyBorder="1" applyAlignment="1">
      <alignment horizontal="center" vertical="center"/>
    </xf>
    <xf numFmtId="9" fontId="5" fillId="0" borderId="0" xfId="0" applyNumberFormat="1" applyFont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10" fontId="5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/>
    </xf>
    <xf numFmtId="0" fontId="21" fillId="0" borderId="0" xfId="0" applyFont="1" applyAlignment="1">
      <alignment vertical="top" wrapText="1"/>
    </xf>
    <xf numFmtId="10" fontId="5" fillId="0" borderId="0" xfId="0" applyNumberFormat="1" applyFont="1" applyAlignment="1">
      <alignment horizontal="center" vertical="center"/>
    </xf>
    <xf numFmtId="9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18" fillId="10" borderId="4" xfId="2" applyFont="1" applyBorder="1" applyAlignment="1">
      <alignment horizontal="center" vertical="center"/>
    </xf>
    <xf numFmtId="0" fontId="18" fillId="10" borderId="7" xfId="2" applyFont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18" fillId="10" borderId="7" xfId="2" applyFont="1" applyBorder="1" applyAlignment="1">
      <alignment horizontal="center" vertical="center" wrapText="1"/>
    </xf>
    <xf numFmtId="0" fontId="3" fillId="0" borderId="0" xfId="0" applyFont="1" applyAlignment="1">
      <alignment horizontal="left" vertical="top"/>
    </xf>
    <xf numFmtId="0" fontId="31" fillId="0" borderId="0" xfId="2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0" fontId="4" fillId="0" borderId="0" xfId="0" applyFont="1" applyFill="1" applyAlignment="1">
      <alignment horizontal="left" vertical="top"/>
    </xf>
    <xf numFmtId="0" fontId="4" fillId="0" borderId="0" xfId="0" applyFont="1" applyFill="1" applyAlignment="1">
      <alignment horizontal="left" vertical="center"/>
    </xf>
    <xf numFmtId="0" fontId="32" fillId="0" borderId="0" xfId="2" applyFont="1" applyFill="1" applyBorder="1" applyAlignment="1">
      <alignment vertical="center"/>
    </xf>
    <xf numFmtId="9" fontId="3" fillId="0" borderId="0" xfId="0" applyNumberFormat="1" applyFont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0" fontId="18" fillId="10" borderId="7" xfId="2" applyFont="1" applyBorder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/>
    </xf>
    <xf numFmtId="0" fontId="18" fillId="10" borderId="7" xfId="2" applyFont="1" applyBorder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0" fontId="30" fillId="0" borderId="0" xfId="2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9" fontId="3" fillId="0" borderId="0" xfId="0" applyNumberFormat="1" applyFont="1" applyAlignment="1">
      <alignment horizontal="center" vertical="center"/>
    </xf>
    <xf numFmtId="0" fontId="22" fillId="10" borderId="3" xfId="2" applyFont="1" applyBorder="1" applyAlignment="1">
      <alignment horizontal="left" wrapText="1"/>
    </xf>
    <xf numFmtId="0" fontId="33" fillId="10" borderId="3" xfId="2" applyFont="1" applyBorder="1" applyAlignment="1">
      <alignment wrapText="1"/>
    </xf>
    <xf numFmtId="49" fontId="1" fillId="0" borderId="0" xfId="0" applyNumberFormat="1" applyFont="1"/>
    <xf numFmtId="2" fontId="1" fillId="0" borderId="0" xfId="0" applyNumberFormat="1" applyFont="1"/>
    <xf numFmtId="10" fontId="1" fillId="0" borderId="0" xfId="4" applyNumberFormat="1" applyFont="1"/>
    <xf numFmtId="0" fontId="2" fillId="2" borderId="10" xfId="0" applyFont="1" applyFill="1" applyBorder="1" applyAlignment="1">
      <alignment horizont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0" fontId="1" fillId="8" borderId="19" xfId="0" applyFont="1" applyFill="1" applyBorder="1"/>
    <xf numFmtId="49" fontId="1" fillId="0" borderId="19" xfId="0" applyNumberFormat="1" applyFont="1" applyBorder="1"/>
    <xf numFmtId="10" fontId="3" fillId="0" borderId="20" xfId="0" applyNumberFormat="1" applyFont="1" applyBorder="1" applyAlignment="1">
      <alignment horizontal="center" vertical="center"/>
    </xf>
    <xf numFmtId="10" fontId="3" fillId="0" borderId="20" xfId="0" applyNumberFormat="1" applyFont="1" applyBorder="1" applyAlignment="1">
      <alignment horizontal="center" vertical="center"/>
    </xf>
    <xf numFmtId="10" fontId="1" fillId="8" borderId="20" xfId="0" applyNumberFormat="1" applyFont="1" applyFill="1" applyBorder="1"/>
    <xf numFmtId="10" fontId="1" fillId="0" borderId="20" xfId="0" applyNumberFormat="1" applyFont="1" applyBorder="1"/>
    <xf numFmtId="49" fontId="3" fillId="0" borderId="12" xfId="0" applyNumberFormat="1" applyFont="1" applyBorder="1" applyAlignment="1">
      <alignment horizontal="center" vertical="center"/>
    </xf>
    <xf numFmtId="10" fontId="3" fillId="0" borderId="13" xfId="0" applyNumberFormat="1" applyFont="1" applyBorder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0" fontId="7" fillId="0" borderId="0" xfId="0" applyFont="1" applyFill="1" applyAlignment="1">
      <alignment horizontal="left" vertical="top"/>
    </xf>
    <xf numFmtId="0" fontId="3" fillId="0" borderId="0" xfId="0" applyFont="1" applyFill="1" applyAlignment="1">
      <alignment horizontal="left" vertical="top"/>
    </xf>
    <xf numFmtId="10" fontId="3" fillId="0" borderId="20" xfId="0" applyNumberFormat="1" applyFont="1" applyBorder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top"/>
    </xf>
    <xf numFmtId="0" fontId="30" fillId="0" borderId="0" xfId="2" applyFont="1" applyFill="1" applyBorder="1" applyAlignment="1">
      <alignment horizontal="center" vertical="center"/>
    </xf>
    <xf numFmtId="0" fontId="4" fillId="0" borderId="0" xfId="0" applyFont="1" applyFill="1" applyAlignment="1">
      <alignment horizontal="left" vertical="top"/>
    </xf>
    <xf numFmtId="0" fontId="18" fillId="10" borderId="0" xfId="2" applyFont="1" applyBorder="1" applyAlignment="1">
      <alignment horizontal="center"/>
    </xf>
    <xf numFmtId="0" fontId="3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top"/>
    </xf>
    <xf numFmtId="10" fontId="3" fillId="0" borderId="0" xfId="0" applyNumberFormat="1" applyFont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10" fontId="3" fillId="0" borderId="20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0" fontId="18" fillId="10" borderId="7" xfId="2" applyFont="1" applyBorder="1" applyAlignment="1">
      <alignment horizontal="center" vertical="center" wrapText="1"/>
    </xf>
    <xf numFmtId="0" fontId="18" fillId="10" borderId="7" xfId="2" applyFont="1" applyBorder="1" applyAlignment="1">
      <alignment horizontal="center" vertical="center" wrapText="1"/>
    </xf>
    <xf numFmtId="0" fontId="23" fillId="6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 applyFill="1" applyAlignment="1">
      <alignment horizontal="left" vertical="center"/>
    </xf>
    <xf numFmtId="164" fontId="3" fillId="0" borderId="0" xfId="0" applyNumberFormat="1" applyFont="1" applyAlignment="1">
      <alignment horizontal="center" vertical="center"/>
    </xf>
    <xf numFmtId="0" fontId="1" fillId="0" borderId="8" xfId="0" applyFont="1" applyBorder="1"/>
    <xf numFmtId="10" fontId="3" fillId="0" borderId="20" xfId="0" applyNumberFormat="1" applyFont="1" applyBorder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0" fontId="18" fillId="10" borderId="7" xfId="2" applyFont="1" applyBorder="1" applyAlignment="1">
      <alignment horizontal="center" vertical="center" wrapText="1"/>
    </xf>
    <xf numFmtId="0" fontId="2" fillId="3" borderId="0" xfId="0" applyFont="1" applyFill="1" applyAlignment="1">
      <alignment horizontal="center"/>
    </xf>
    <xf numFmtId="0" fontId="1" fillId="0" borderId="24" xfId="0" applyFont="1" applyBorder="1"/>
    <xf numFmtId="0" fontId="1" fillId="0" borderId="0" xfId="0" applyFont="1" applyFill="1"/>
    <xf numFmtId="0" fontId="1" fillId="15" borderId="0" xfId="0" applyFont="1" applyFill="1" applyAlignment="1">
      <alignment horizontal="center"/>
    </xf>
    <xf numFmtId="0" fontId="1" fillId="14" borderId="0" xfId="0" applyFont="1" applyFill="1" applyAlignment="1">
      <alignment horizontal="center"/>
    </xf>
    <xf numFmtId="0" fontId="36" fillId="0" borderId="0" xfId="0" applyFont="1"/>
    <xf numFmtId="0" fontId="3" fillId="0" borderId="25" xfId="0" applyFont="1" applyBorder="1"/>
    <xf numFmtId="0" fontId="37" fillId="0" borderId="0" xfId="2" applyFont="1" applyFill="1" applyBorder="1" applyAlignment="1">
      <alignment horizontal="center" vertical="center"/>
    </xf>
    <xf numFmtId="0" fontId="1" fillId="14" borderId="8" xfId="0" applyFont="1" applyFill="1" applyBorder="1" applyAlignment="1">
      <alignment horizontal="center"/>
    </xf>
    <xf numFmtId="10" fontId="3" fillId="0" borderId="20" xfId="0" applyNumberFormat="1" applyFont="1" applyBorder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0" fontId="18" fillId="10" borderId="7" xfId="2" applyFont="1" applyBorder="1" applyAlignment="1">
      <alignment horizontal="center" vertical="center" wrapText="1"/>
    </xf>
    <xf numFmtId="0" fontId="30" fillId="0" borderId="0" xfId="2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left" vertical="top"/>
    </xf>
    <xf numFmtId="0" fontId="4" fillId="0" borderId="0" xfId="0" applyFont="1" applyFill="1" applyAlignment="1">
      <alignment horizontal="left" vertical="top"/>
    </xf>
    <xf numFmtId="0" fontId="30" fillId="0" borderId="0" xfId="2" applyFont="1" applyFill="1" applyBorder="1" applyAlignment="1">
      <alignment horizontal="center" vertical="center"/>
    </xf>
    <xf numFmtId="0" fontId="7" fillId="0" borderId="0" xfId="0" applyFont="1" applyAlignment="1">
      <alignment horizontal="left" vertical="top"/>
    </xf>
    <xf numFmtId="9" fontId="3" fillId="0" borderId="0" xfId="0" applyNumberFormat="1" applyFont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18" fillId="10" borderId="4" xfId="2" applyFont="1" applyBorder="1" applyAlignment="1">
      <alignment horizontal="center" vertical="center"/>
    </xf>
    <xf numFmtId="10" fontId="3" fillId="0" borderId="20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8" fillId="0" borderId="21" xfId="0" applyFont="1" applyBorder="1"/>
    <xf numFmtId="0" fontId="38" fillId="0" borderId="22" xfId="0" applyFont="1" applyBorder="1"/>
    <xf numFmtId="0" fontId="38" fillId="14" borderId="22" xfId="0" applyFont="1" applyFill="1" applyBorder="1" applyAlignment="1">
      <alignment horizontal="center"/>
    </xf>
    <xf numFmtId="0" fontId="39" fillId="0" borderId="23" xfId="0" applyFont="1" applyBorder="1"/>
    <xf numFmtId="0" fontId="41" fillId="0" borderId="0" xfId="0" applyFont="1"/>
    <xf numFmtId="164" fontId="3" fillId="0" borderId="0" xfId="0" applyNumberFormat="1" applyFont="1" applyAlignment="1">
      <alignment horizontal="center" vertical="center"/>
    </xf>
    <xf numFmtId="10" fontId="3" fillId="0" borderId="20" xfId="0" applyNumberFormat="1" applyFont="1" applyBorder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30" fillId="0" borderId="0" xfId="3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7" fillId="8" borderId="0" xfId="0" applyFont="1" applyFill="1" applyAlignment="1">
      <alignment horizontal="left" vertical="center"/>
    </xf>
    <xf numFmtId="0" fontId="44" fillId="0" borderId="0" xfId="3" applyFont="1" applyFill="1" applyBorder="1" applyAlignment="1">
      <alignment horizontal="center" vertical="center"/>
    </xf>
    <xf numFmtId="0" fontId="44" fillId="0" borderId="0" xfId="2" applyFont="1" applyFill="1" applyBorder="1" applyAlignment="1">
      <alignment horizontal="center" vertical="center"/>
    </xf>
    <xf numFmtId="0" fontId="43" fillId="0" borderId="0" xfId="2" applyFont="1" applyFill="1" applyBorder="1" applyAlignment="1">
      <alignment horizontal="center" vertical="center"/>
    </xf>
    <xf numFmtId="0" fontId="45" fillId="0" borderId="0" xfId="2" applyFont="1" applyFill="1" applyBorder="1" applyAlignment="1">
      <alignment horizontal="center" vertical="center"/>
    </xf>
    <xf numFmtId="0" fontId="46" fillId="0" borderId="0" xfId="0" applyFont="1"/>
    <xf numFmtId="0" fontId="47" fillId="0" borderId="0" xfId="0" applyFont="1"/>
    <xf numFmtId="0" fontId="23" fillId="0" borderId="0" xfId="0" applyFont="1"/>
    <xf numFmtId="0" fontId="48" fillId="0" borderId="0" xfId="0" applyFont="1"/>
    <xf numFmtId="0" fontId="49" fillId="0" borderId="0" xfId="0" applyFont="1"/>
    <xf numFmtId="0" fontId="50" fillId="0" borderId="0" xfId="0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5" fillId="2" borderId="2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5" fillId="0" borderId="0" xfId="0" applyFont="1" applyAlignment="1">
      <alignment horizontal="center" vertical="top"/>
    </xf>
    <xf numFmtId="0" fontId="55" fillId="16" borderId="28" xfId="0" applyFont="1" applyFill="1" applyBorder="1" applyAlignment="1">
      <alignment horizontal="left" vertical="center" wrapText="1"/>
    </xf>
    <xf numFmtId="0" fontId="1" fillId="17" borderId="0" xfId="0" applyFont="1" applyFill="1"/>
    <xf numFmtId="0" fontId="1" fillId="17" borderId="0" xfId="0" applyFont="1" applyFill="1" applyAlignment="1">
      <alignment horizontal="center"/>
    </xf>
    <xf numFmtId="0" fontId="18" fillId="10" borderId="7" xfId="2" applyFont="1" applyBorder="1" applyAlignment="1">
      <alignment horizontal="center" vertical="center" wrapText="1"/>
    </xf>
    <xf numFmtId="0" fontId="43" fillId="0" borderId="0" xfId="2" applyFont="1" applyFill="1" applyBorder="1" applyAlignment="1">
      <alignment horizontal="center" vertical="center"/>
    </xf>
    <xf numFmtId="0" fontId="26" fillId="0" borderId="0" xfId="2" applyFont="1" applyFill="1" applyBorder="1" applyAlignment="1">
      <alignment horizontal="center" vertical="center"/>
    </xf>
    <xf numFmtId="0" fontId="3" fillId="0" borderId="0" xfId="0" applyFont="1" applyAlignment="1">
      <alignment horizontal="left" vertical="top"/>
    </xf>
    <xf numFmtId="10" fontId="3" fillId="0" borderId="20" xfId="0" applyNumberFormat="1" applyFont="1" applyBorder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0" fontId="18" fillId="10" borderId="4" xfId="2" applyFont="1" applyBorder="1" applyAlignment="1">
      <alignment horizontal="center" vertical="center"/>
    </xf>
    <xf numFmtId="0" fontId="17" fillId="0" borderId="0" xfId="0" applyFont="1" applyAlignment="1">
      <alignment wrapText="1"/>
    </xf>
    <xf numFmtId="164" fontId="3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top"/>
    </xf>
    <xf numFmtId="0" fontId="58" fillId="12" borderId="29" xfId="0" applyFont="1" applyFill="1" applyBorder="1" applyAlignment="1">
      <alignment horizontal="center"/>
    </xf>
    <xf numFmtId="0" fontId="59" fillId="12" borderId="30" xfId="0" applyFont="1" applyFill="1" applyBorder="1" applyAlignment="1">
      <alignment horizontal="center"/>
    </xf>
    <xf numFmtId="0" fontId="60" fillId="12" borderId="30" xfId="0" applyFont="1" applyFill="1" applyBorder="1" applyAlignment="1">
      <alignment horizontal="center"/>
    </xf>
    <xf numFmtId="0" fontId="61" fillId="12" borderId="30" xfId="0" applyFont="1" applyFill="1" applyBorder="1" applyAlignment="1">
      <alignment horizontal="center"/>
    </xf>
    <xf numFmtId="0" fontId="58" fillId="12" borderId="30" xfId="0" applyFont="1" applyFill="1" applyBorder="1" applyAlignment="1">
      <alignment horizontal="center"/>
    </xf>
    <xf numFmtId="0" fontId="61" fillId="12" borderId="31" xfId="0" applyFont="1" applyFill="1" applyBorder="1" applyAlignment="1">
      <alignment horizontal="center"/>
    </xf>
    <xf numFmtId="0" fontId="1" fillId="17" borderId="32" xfId="0" applyFont="1" applyFill="1" applyBorder="1"/>
    <xf numFmtId="0" fontId="7" fillId="0" borderId="0" xfId="0" applyFont="1"/>
    <xf numFmtId="0" fontId="7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0" fontId="44" fillId="0" borderId="0" xfId="3" applyFont="1" applyFill="1" applyBorder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10" fontId="3" fillId="0" borderId="20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0" fontId="3" fillId="0" borderId="0" xfId="0" applyNumberFormat="1" applyFont="1" applyAlignment="1">
      <alignment horizontal="center" vertical="center"/>
    </xf>
    <xf numFmtId="0" fontId="18" fillId="10" borderId="0" xfId="2" applyFont="1" applyBorder="1" applyAlignment="1">
      <alignment horizontal="center" vertical="center"/>
    </xf>
    <xf numFmtId="10" fontId="3" fillId="0" borderId="20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0" fontId="62" fillId="12" borderId="30" xfId="0" applyFont="1" applyFill="1" applyBorder="1" applyAlignment="1">
      <alignment horizontal="center"/>
    </xf>
    <xf numFmtId="14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3" fillId="0" borderId="0" xfId="0" applyNumberFormat="1" applyFont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0" fontId="18" fillId="10" borderId="0" xfId="2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10" fontId="3" fillId="0" borderId="20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0" fontId="3" fillId="0" borderId="0" xfId="0" applyFont="1" applyBorder="1"/>
    <xf numFmtId="0" fontId="18" fillId="10" borderId="3" xfId="2" applyFont="1" applyBorder="1" applyAlignment="1">
      <alignment horizontal="left" vertical="center"/>
    </xf>
    <xf numFmtId="164" fontId="3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top"/>
    </xf>
    <xf numFmtId="9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top"/>
    </xf>
    <xf numFmtId="0" fontId="30" fillId="0" borderId="0" xfId="2" applyFont="1" applyFill="1" applyBorder="1" applyAlignment="1">
      <alignment horizontal="center" vertical="center"/>
    </xf>
    <xf numFmtId="0" fontId="18" fillId="10" borderId="0" xfId="2" applyFont="1" applyBorder="1" applyAlignment="1">
      <alignment horizontal="center" vertical="center" wrapText="1"/>
    </xf>
    <xf numFmtId="10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top"/>
    </xf>
    <xf numFmtId="49" fontId="3" fillId="0" borderId="19" xfId="0" applyNumberFormat="1" applyFont="1" applyBorder="1" applyAlignment="1">
      <alignment horizontal="center" vertical="center"/>
    </xf>
    <xf numFmtId="10" fontId="3" fillId="0" borderId="20" xfId="0" applyNumberFormat="1" applyFont="1" applyBorder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0" fontId="30" fillId="0" borderId="0" xfId="2" applyFont="1" applyFill="1" applyBorder="1" applyAlignment="1">
      <alignment horizontal="center" vertical="center"/>
    </xf>
    <xf numFmtId="0" fontId="45" fillId="0" borderId="0" xfId="2" applyFont="1" applyFill="1" applyBorder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10" fontId="3" fillId="0" borderId="20" xfId="0" applyNumberFormat="1" applyFont="1" applyBorder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10" fontId="3" fillId="0" borderId="0" xfId="0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18" fillId="10" borderId="0" xfId="2" applyFont="1" applyBorder="1" applyAlignment="1">
      <alignment vertical="center" wrapText="1"/>
    </xf>
    <xf numFmtId="0" fontId="44" fillId="0" borderId="0" xfId="2" applyFont="1" applyFill="1" applyBorder="1" applyAlignment="1">
      <alignment horizontal="center" vertical="center"/>
    </xf>
    <xf numFmtId="0" fontId="30" fillId="0" borderId="0" xfId="2" applyFont="1" applyFill="1" applyBorder="1" applyAlignment="1">
      <alignment horizontal="center" vertical="center"/>
    </xf>
    <xf numFmtId="0" fontId="18" fillId="10" borderId="4" xfId="2" applyFon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top"/>
    </xf>
    <xf numFmtId="0" fontId="42" fillId="0" borderId="0" xfId="2" applyFont="1" applyFill="1" applyBorder="1" applyAlignment="1">
      <alignment horizontal="center" vertical="center"/>
    </xf>
    <xf numFmtId="0" fontId="18" fillId="10" borderId="0" xfId="2" applyFont="1" applyBorder="1"/>
    <xf numFmtId="49" fontId="3" fillId="0" borderId="0" xfId="0" applyNumberFormat="1" applyFont="1" applyBorder="1" applyAlignment="1">
      <alignment horizontal="center" vertical="center"/>
    </xf>
    <xf numFmtId="0" fontId="18" fillId="10" borderId="7" xfId="2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/>
    </xf>
    <xf numFmtId="0" fontId="18" fillId="10" borderId="7" xfId="2" applyFont="1" applyBorder="1" applyAlignment="1">
      <alignment horizontal="center" vertical="center" wrapText="1"/>
    </xf>
    <xf numFmtId="0" fontId="18" fillId="10" borderId="0" xfId="2" applyFont="1" applyBorder="1" applyAlignment="1">
      <alignment horizontal="center" vertical="center" wrapText="1"/>
    </xf>
    <xf numFmtId="0" fontId="3" fillId="0" borderId="0" xfId="0" applyFont="1" applyAlignment="1">
      <alignment horizontal="left" vertical="top"/>
    </xf>
    <xf numFmtId="10" fontId="3" fillId="0" borderId="20" xfId="0" applyNumberFormat="1" applyFont="1" applyBorder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top"/>
    </xf>
    <xf numFmtId="10" fontId="3" fillId="0" borderId="20" xfId="0" applyNumberFormat="1" applyFont="1" applyBorder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center" vertical="center"/>
    </xf>
    <xf numFmtId="0" fontId="18" fillId="10" borderId="0" xfId="2" applyFont="1" applyBorder="1" applyAlignment="1">
      <alignment horizontal="center" vertical="center"/>
    </xf>
    <xf numFmtId="0" fontId="18" fillId="10" borderId="7" xfId="2" applyFont="1" applyBorder="1" applyAlignment="1">
      <alignment horizontal="center" vertical="center" wrapText="1"/>
    </xf>
    <xf numFmtId="0" fontId="18" fillId="10" borderId="0" xfId="2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/>
    </xf>
    <xf numFmtId="10" fontId="3" fillId="0" borderId="20" xfId="0" applyNumberFormat="1" applyFont="1" applyBorder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18" fillId="10" borderId="0" xfId="2" applyFont="1" applyBorder="1" applyAlignment="1">
      <alignment horizontal="center" vertical="center"/>
    </xf>
    <xf numFmtId="0" fontId="43" fillId="0" borderId="0" xfId="2" applyFont="1" applyFill="1" applyBorder="1" applyAlignment="1">
      <alignment horizontal="center" vertical="center"/>
    </xf>
    <xf numFmtId="0" fontId="18" fillId="10" borderId="0" xfId="2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/>
    </xf>
    <xf numFmtId="0" fontId="30" fillId="0" borderId="0" xfId="2" applyFont="1" applyFill="1" applyBorder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18" fillId="10" borderId="0" xfId="2" applyFont="1" applyBorder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0" fontId="4" fillId="0" borderId="0" xfId="0" applyFont="1" applyFill="1" applyAlignment="1">
      <alignment horizontal="left" vertical="top"/>
    </xf>
    <xf numFmtId="10" fontId="3" fillId="0" borderId="20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0" fontId="20" fillId="11" borderId="0" xfId="3" applyFont="1" applyBorder="1" applyAlignment="1">
      <alignment horizontal="center" vertical="center" wrapText="1"/>
    </xf>
    <xf numFmtId="0" fontId="22" fillId="10" borderId="0" xfId="2" applyFont="1" applyBorder="1" applyAlignment="1">
      <alignment wrapText="1"/>
    </xf>
    <xf numFmtId="0" fontId="44" fillId="0" borderId="0" xfId="2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18" fillId="10" borderId="0" xfId="2" applyFont="1" applyBorder="1" applyAlignment="1">
      <alignment horizontal="left" vertical="center" wrapText="1"/>
    </xf>
    <xf numFmtId="0" fontId="18" fillId="10" borderId="7" xfId="2" applyFont="1" applyBorder="1" applyAlignment="1">
      <alignment horizontal="center" vertical="center" wrapText="1"/>
    </xf>
    <xf numFmtId="0" fontId="18" fillId="10" borderId="0" xfId="2" applyFont="1" applyBorder="1" applyAlignment="1">
      <alignment horizontal="center" vertical="center" wrapText="1"/>
    </xf>
    <xf numFmtId="0" fontId="30" fillId="0" borderId="0" xfId="2" applyFont="1" applyFill="1" applyBorder="1" applyAlignment="1">
      <alignment horizontal="center" vertical="center"/>
    </xf>
    <xf numFmtId="0" fontId="43" fillId="0" borderId="0" xfId="2" applyFont="1" applyFill="1" applyBorder="1" applyAlignment="1">
      <alignment horizontal="center" vertical="center"/>
    </xf>
    <xf numFmtId="0" fontId="18" fillId="10" borderId="7" xfId="2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/>
    </xf>
    <xf numFmtId="0" fontId="30" fillId="0" borderId="0" xfId="2" applyFont="1" applyFill="1" applyBorder="1" applyAlignment="1">
      <alignment horizontal="center" vertical="center"/>
    </xf>
    <xf numFmtId="0" fontId="18" fillId="10" borderId="7" xfId="2" applyFont="1" applyBorder="1" applyAlignment="1">
      <alignment horizontal="center" vertical="center" wrapText="1"/>
    </xf>
    <xf numFmtId="10" fontId="3" fillId="0" borderId="0" xfId="0" applyNumberFormat="1" applyFont="1" applyAlignment="1">
      <alignment horizontal="center" vertical="center"/>
    </xf>
    <xf numFmtId="10" fontId="3" fillId="0" borderId="20" xfId="0" applyNumberFormat="1" applyFont="1" applyBorder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0" fontId="18" fillId="10" borderId="7" xfId="2" applyFont="1" applyBorder="1" applyAlignment="1">
      <alignment horizontal="center" vertical="center" wrapText="1"/>
    </xf>
    <xf numFmtId="0" fontId="44" fillId="0" borderId="0" xfId="2" applyFont="1" applyFill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0" fontId="3" fillId="0" borderId="20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top"/>
    </xf>
    <xf numFmtId="0" fontId="18" fillId="10" borderId="0" xfId="2" applyFont="1" applyBorder="1" applyAlignment="1">
      <alignment horizontal="left" vertical="center" wrapText="1"/>
    </xf>
    <xf numFmtId="0" fontId="18" fillId="10" borderId="0" xfId="2" applyFont="1" applyBorder="1" applyAlignment="1">
      <alignment horizontal="center" vertical="center" wrapText="1"/>
    </xf>
    <xf numFmtId="0" fontId="30" fillId="0" borderId="0" xfId="2" applyFont="1" applyFill="1" applyBorder="1" applyAlignment="1">
      <alignment horizontal="center" vertical="center"/>
    </xf>
    <xf numFmtId="0" fontId="42" fillId="0" borderId="0" xfId="2" applyFont="1" applyFill="1" applyBorder="1" applyAlignment="1">
      <alignment horizontal="center" vertical="top"/>
    </xf>
    <xf numFmtId="49" fontId="3" fillId="0" borderId="19" xfId="0" applyNumberFormat="1" applyFont="1" applyBorder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0" fontId="18" fillId="10" borderId="0" xfId="2" applyFon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0" fontId="3" fillId="0" borderId="20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top"/>
    </xf>
    <xf numFmtId="0" fontId="18" fillId="10" borderId="7" xfId="2" applyFont="1" applyBorder="1" applyAlignment="1">
      <alignment horizontal="center" vertical="center" wrapText="1"/>
    </xf>
    <xf numFmtId="0" fontId="44" fillId="0" borderId="0" xfId="2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4" fillId="0" borderId="0" xfId="0" applyFont="1" applyFill="1" applyAlignment="1">
      <alignment wrapText="1"/>
    </xf>
    <xf numFmtId="0" fontId="67" fillId="0" borderId="0" xfId="0" applyFont="1" applyAlignment="1"/>
    <xf numFmtId="0" fontId="68" fillId="0" borderId="0" xfId="0" applyFont="1"/>
    <xf numFmtId="0" fontId="69" fillId="4" borderId="0" xfId="0" applyFont="1" applyFill="1"/>
    <xf numFmtId="0" fontId="40" fillId="0" borderId="0" xfId="0" applyFont="1" applyAlignment="1">
      <alignment wrapText="1"/>
    </xf>
    <xf numFmtId="0" fontId="64" fillId="0" borderId="0" xfId="0" applyFont="1" applyAlignment="1">
      <alignment wrapText="1"/>
    </xf>
    <xf numFmtId="0" fontId="24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30" fillId="0" borderId="0" xfId="2" applyFont="1" applyFill="1" applyBorder="1" applyAlignment="1">
      <alignment horizontal="center" vertical="center"/>
    </xf>
    <xf numFmtId="0" fontId="18" fillId="10" borderId="0" xfId="2" applyFont="1" applyBorder="1" applyAlignment="1">
      <alignment horizontal="center" vertical="center" wrapText="1"/>
    </xf>
    <xf numFmtId="0" fontId="18" fillId="10" borderId="0" xfId="2" applyFont="1" applyBorder="1" applyAlignment="1">
      <alignment horizontal="center" vertical="center"/>
    </xf>
    <xf numFmtId="0" fontId="18" fillId="10" borderId="0" xfId="2" applyFont="1" applyBorder="1" applyAlignment="1">
      <alignment horizontal="center" vertical="center" wrapText="1"/>
    </xf>
    <xf numFmtId="0" fontId="18" fillId="10" borderId="0" xfId="2" applyFont="1" applyBorder="1" applyAlignment="1">
      <alignment horizontal="center" vertical="center"/>
    </xf>
    <xf numFmtId="0" fontId="44" fillId="0" borderId="0" xfId="2" applyFont="1" applyFill="1" applyBorder="1" applyAlignment="1">
      <alignment horizontal="center" vertical="center" wrapText="1"/>
    </xf>
    <xf numFmtId="0" fontId="51" fillId="0" borderId="0" xfId="0" applyFont="1" applyBorder="1" applyAlignment="1">
      <alignment horizontal="center" vertical="center"/>
    </xf>
    <xf numFmtId="0" fontId="44" fillId="0" borderId="0" xfId="2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71" fillId="19" borderId="7" xfId="5" applyFont="1" applyBorder="1" applyAlignment="1">
      <alignment horizontal="center" vertical="center" wrapText="1"/>
    </xf>
    <xf numFmtId="0" fontId="71" fillId="19" borderId="0" xfId="5" applyFont="1" applyBorder="1" applyAlignment="1">
      <alignment horizontal="center" vertical="center" wrapText="1"/>
    </xf>
    <xf numFmtId="0" fontId="44" fillId="0" borderId="0" xfId="2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wrapText="1"/>
    </xf>
    <xf numFmtId="0" fontId="72" fillId="0" borderId="0" xfId="0" applyFont="1"/>
    <xf numFmtId="0" fontId="2" fillId="13" borderId="0" xfId="0" applyFont="1" applyFill="1" applyAlignment="1">
      <alignment horizontal="center"/>
    </xf>
    <xf numFmtId="0" fontId="57" fillId="13" borderId="0" xfId="0" applyFont="1" applyFill="1" applyAlignment="1">
      <alignment horizontal="center"/>
    </xf>
    <xf numFmtId="0" fontId="7" fillId="0" borderId="0" xfId="0" applyFont="1" applyAlignment="1">
      <alignment horizontal="left" vertical="top"/>
    </xf>
    <xf numFmtId="0" fontId="44" fillId="0" borderId="0" xfId="2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top"/>
    </xf>
    <xf numFmtId="0" fontId="30" fillId="0" borderId="0" xfId="2" applyFont="1" applyFill="1" applyBorder="1" applyAlignment="1">
      <alignment horizontal="center" vertical="center"/>
    </xf>
    <xf numFmtId="0" fontId="45" fillId="0" borderId="0" xfId="2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8" fillId="10" borderId="7" xfId="2" applyFont="1" applyBorder="1" applyAlignment="1">
      <alignment horizontal="center" vertical="center" wrapText="1"/>
    </xf>
    <xf numFmtId="0" fontId="18" fillId="10" borderId="15" xfId="2" applyFont="1" applyBorder="1" applyAlignment="1">
      <alignment horizontal="center" vertical="center" wrapText="1"/>
    </xf>
    <xf numFmtId="0" fontId="18" fillId="10" borderId="14" xfId="2" applyFont="1" applyBorder="1" applyAlignment="1">
      <alignment horizontal="center" vertical="center" wrapText="1"/>
    </xf>
    <xf numFmtId="0" fontId="18" fillId="10" borderId="26" xfId="2" applyFont="1" applyBorder="1" applyAlignment="1">
      <alignment horizontal="center" vertical="center" wrapText="1"/>
    </xf>
    <xf numFmtId="0" fontId="18" fillId="10" borderId="0" xfId="2" applyFont="1" applyBorder="1" applyAlignment="1">
      <alignment horizontal="center" vertical="center" wrapText="1"/>
    </xf>
    <xf numFmtId="0" fontId="20" fillId="11" borderId="14" xfId="3" applyFont="1" applyBorder="1" applyAlignment="1">
      <alignment horizontal="center" vertical="center" wrapText="1"/>
    </xf>
    <xf numFmtId="0" fontId="20" fillId="11" borderId="26" xfId="3" applyFont="1" applyBorder="1" applyAlignment="1">
      <alignment horizontal="center" vertical="center" wrapText="1"/>
    </xf>
    <xf numFmtId="0" fontId="18" fillId="10" borderId="7" xfId="2" applyFont="1" applyBorder="1" applyAlignment="1">
      <alignment horizontal="left" vertical="center" wrapText="1"/>
    </xf>
    <xf numFmtId="0" fontId="18" fillId="10" borderId="0" xfId="2" applyFont="1" applyBorder="1" applyAlignment="1">
      <alignment horizontal="left" vertical="center" wrapText="1"/>
    </xf>
    <xf numFmtId="0" fontId="20" fillId="11" borderId="7" xfId="3" applyFont="1" applyBorder="1" applyAlignment="1">
      <alignment horizontal="center" vertical="center" wrapText="1"/>
    </xf>
    <xf numFmtId="0" fontId="20" fillId="11" borderId="15" xfId="3" applyFont="1" applyBorder="1" applyAlignment="1">
      <alignment horizontal="center" vertical="center" wrapText="1"/>
    </xf>
    <xf numFmtId="0" fontId="18" fillId="10" borderId="4" xfId="2" applyFont="1" applyBorder="1" applyAlignment="1">
      <alignment horizontal="left" vertical="center" wrapText="1"/>
    </xf>
    <xf numFmtId="0" fontId="18" fillId="10" borderId="5" xfId="2" applyFont="1" applyBorder="1" applyAlignment="1">
      <alignment horizontal="left" vertical="center" wrapText="1"/>
    </xf>
    <xf numFmtId="0" fontId="3" fillId="0" borderId="0" xfId="0" applyFont="1" applyAlignment="1">
      <alignment horizontal="left" vertical="top"/>
    </xf>
    <xf numFmtId="0" fontId="44" fillId="0" borderId="0" xfId="2" applyFont="1" applyFill="1" applyBorder="1" applyAlignment="1">
      <alignment horizontal="center" vertical="center"/>
    </xf>
    <xf numFmtId="0" fontId="4" fillId="0" borderId="0" xfId="0" applyFont="1" applyFill="1" applyAlignment="1">
      <alignment horizontal="left" vertical="top"/>
    </xf>
    <xf numFmtId="0" fontId="30" fillId="0" borderId="17" xfId="2" applyFont="1" applyFill="1" applyBorder="1" applyAlignment="1">
      <alignment horizontal="center" vertical="center"/>
    </xf>
    <xf numFmtId="0" fontId="30" fillId="0" borderId="0" xfId="3" applyFont="1" applyFill="1" applyBorder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18" fillId="10" borderId="16" xfId="2" applyFont="1" applyBorder="1" applyAlignment="1">
      <alignment horizontal="center" vertical="center" wrapText="1"/>
    </xf>
    <xf numFmtId="0" fontId="18" fillId="10" borderId="17" xfId="2" applyFont="1" applyBorder="1" applyAlignment="1">
      <alignment horizontal="center" vertical="center" wrapText="1"/>
    </xf>
    <xf numFmtId="0" fontId="18" fillId="10" borderId="18" xfId="2" applyFont="1" applyBorder="1" applyAlignment="1">
      <alignment horizontal="center" vertical="center" wrapText="1"/>
    </xf>
    <xf numFmtId="10" fontId="3" fillId="0" borderId="9" xfId="0" applyNumberFormat="1" applyFont="1" applyBorder="1" applyAlignment="1">
      <alignment horizontal="center" vertical="center"/>
    </xf>
    <xf numFmtId="10" fontId="3" fillId="0" borderId="0" xfId="0" applyNumberFormat="1" applyFont="1" applyBorder="1" applyAlignment="1">
      <alignment horizontal="center" vertical="center"/>
    </xf>
    <xf numFmtId="0" fontId="18" fillId="10" borderId="4" xfId="2" applyFont="1" applyBorder="1" applyAlignment="1">
      <alignment horizontal="center" vertical="center"/>
    </xf>
    <xf numFmtId="0" fontId="18" fillId="10" borderId="5" xfId="2" applyFont="1" applyBorder="1" applyAlignment="1">
      <alignment horizontal="center" vertical="center"/>
    </xf>
    <xf numFmtId="0" fontId="18" fillId="10" borderId="6" xfId="2" applyFont="1" applyBorder="1" applyAlignment="1">
      <alignment horizontal="center" vertical="center"/>
    </xf>
    <xf numFmtId="0" fontId="18" fillId="10" borderId="7" xfId="2" applyFont="1" applyBorder="1" applyAlignment="1">
      <alignment horizontal="center"/>
    </xf>
    <xf numFmtId="0" fontId="18" fillId="10" borderId="0" xfId="2" applyFont="1" applyBorder="1" applyAlignment="1">
      <alignment horizontal="center"/>
    </xf>
    <xf numFmtId="0" fontId="29" fillId="13" borderId="0" xfId="0" applyFont="1" applyFill="1" applyAlignment="1">
      <alignment horizontal="center"/>
    </xf>
    <xf numFmtId="9" fontId="5" fillId="0" borderId="0" xfId="0" applyNumberFormat="1" applyFont="1" applyAlignment="1">
      <alignment horizontal="center" vertical="center"/>
    </xf>
    <xf numFmtId="10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left" vertical="top" wrapText="1"/>
    </xf>
    <xf numFmtId="0" fontId="21" fillId="0" borderId="0" xfId="0" applyFont="1" applyAlignment="1">
      <alignment vertical="top" wrapText="1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left" vertical="top"/>
    </xf>
    <xf numFmtId="0" fontId="4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44" fillId="0" borderId="9" xfId="2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0" fillId="0" borderId="9" xfId="2" applyFont="1" applyFill="1" applyBorder="1" applyAlignment="1">
      <alignment horizontal="center" vertical="center"/>
    </xf>
    <xf numFmtId="0" fontId="44" fillId="0" borderId="0" xfId="3" applyFont="1" applyFill="1" applyBorder="1" applyAlignment="1">
      <alignment horizontal="center" vertical="center"/>
    </xf>
    <xf numFmtId="10" fontId="5" fillId="0" borderId="20" xfId="0" applyNumberFormat="1" applyFont="1" applyBorder="1" applyAlignment="1">
      <alignment horizontal="center" vertical="center"/>
    </xf>
    <xf numFmtId="10" fontId="5" fillId="0" borderId="20" xfId="4" applyNumberFormat="1" applyFont="1" applyBorder="1" applyAlignment="1">
      <alignment horizontal="center" vertical="center"/>
    </xf>
    <xf numFmtId="10" fontId="3" fillId="0" borderId="20" xfId="0" applyNumberFormat="1" applyFont="1" applyBorder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49" fontId="5" fillId="0" borderId="19" xfId="0" applyNumberFormat="1" applyFont="1" applyBorder="1" applyAlignment="1">
      <alignment horizontal="center" vertical="center"/>
    </xf>
    <xf numFmtId="49" fontId="5" fillId="0" borderId="19" xfId="4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9" fontId="3" fillId="0" borderId="20" xfId="0" applyNumberFormat="1" applyFont="1" applyBorder="1" applyAlignment="1">
      <alignment horizontal="center" vertical="center"/>
    </xf>
    <xf numFmtId="0" fontId="18" fillId="10" borderId="7" xfId="2" applyFont="1" applyBorder="1" applyAlignment="1">
      <alignment horizontal="center" vertical="center"/>
    </xf>
    <xf numFmtId="0" fontId="18" fillId="10" borderId="0" xfId="2" applyFont="1" applyBorder="1" applyAlignment="1">
      <alignment horizontal="center" vertical="center"/>
    </xf>
    <xf numFmtId="0" fontId="18" fillId="10" borderId="9" xfId="2" applyFont="1" applyBorder="1" applyAlignment="1">
      <alignment horizontal="center" vertical="center" wrapText="1"/>
    </xf>
    <xf numFmtId="164" fontId="3" fillId="18" borderId="4" xfId="2" applyNumberFormat="1" applyFont="1" applyFill="1" applyBorder="1" applyAlignment="1">
      <alignment horizontal="center" vertical="center"/>
    </xf>
    <xf numFmtId="164" fontId="3" fillId="18" borderId="5" xfId="2" applyNumberFormat="1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wrapText="1"/>
    </xf>
    <xf numFmtId="0" fontId="3" fillId="0" borderId="0" xfId="0" applyFont="1" applyFill="1" applyAlignment="1">
      <alignment horizontal="center" vertical="top"/>
    </xf>
    <xf numFmtId="0" fontId="42" fillId="0" borderId="0" xfId="2" applyFont="1" applyFill="1" applyBorder="1" applyAlignment="1">
      <alignment horizontal="center" vertical="top"/>
    </xf>
    <xf numFmtId="0" fontId="44" fillId="0" borderId="17" xfId="2" applyFont="1" applyFill="1" applyBorder="1" applyAlignment="1">
      <alignment horizontal="center" vertical="center"/>
    </xf>
    <xf numFmtId="0" fontId="43" fillId="0" borderId="0" xfId="2" applyFont="1" applyFill="1" applyBorder="1" applyAlignment="1">
      <alignment horizontal="center" vertical="top"/>
    </xf>
    <xf numFmtId="0" fontId="65" fillId="0" borderId="0" xfId="2" applyFont="1" applyFill="1" applyBorder="1" applyAlignment="1">
      <alignment horizontal="center" vertical="top"/>
    </xf>
    <xf numFmtId="0" fontId="42" fillId="0" borderId="0" xfId="2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43" fillId="0" borderId="0" xfId="2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7" fillId="0" borderId="0" xfId="0" applyFont="1" applyFill="1" applyAlignment="1">
      <alignment horizontal="left"/>
    </xf>
  </cellXfs>
  <cellStyles count="6">
    <cellStyle name="Bad" xfId="5" builtinId="27"/>
    <cellStyle name="Good" xfId="2" builtinId="26"/>
    <cellStyle name="Hyperlink" xfId="1" builtinId="8"/>
    <cellStyle name="Neutral" xfId="3" builtinId="28"/>
    <cellStyle name="Normal" xfId="0" builtinId="0"/>
    <cellStyle name="Percent" xfId="4" builtinId="5"/>
  </cellStyles>
  <dxfs count="618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FF9797"/>
      <color rgb="FFEED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Flows Activated in Production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Flows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[0]!Date_Range</c:f>
              <c:numCache>
                <c:formatCode>m/d/yyyy</c:formatCode>
                <c:ptCount val="240"/>
                <c:pt idx="0">
                  <c:v>42948</c:v>
                </c:pt>
                <c:pt idx="1">
                  <c:v>42949</c:v>
                </c:pt>
                <c:pt idx="2">
                  <c:v>42950</c:v>
                </c:pt>
                <c:pt idx="3">
                  <c:v>42951</c:v>
                </c:pt>
                <c:pt idx="4">
                  <c:v>42952</c:v>
                </c:pt>
                <c:pt idx="5">
                  <c:v>42953</c:v>
                </c:pt>
                <c:pt idx="6">
                  <c:v>42954</c:v>
                </c:pt>
                <c:pt idx="7">
                  <c:v>42955</c:v>
                </c:pt>
                <c:pt idx="8">
                  <c:v>42956</c:v>
                </c:pt>
                <c:pt idx="9">
                  <c:v>42957</c:v>
                </c:pt>
                <c:pt idx="10">
                  <c:v>42958</c:v>
                </c:pt>
                <c:pt idx="11">
                  <c:v>42959</c:v>
                </c:pt>
                <c:pt idx="12">
                  <c:v>42960</c:v>
                </c:pt>
                <c:pt idx="13">
                  <c:v>42961</c:v>
                </c:pt>
                <c:pt idx="14">
                  <c:v>42962</c:v>
                </c:pt>
                <c:pt idx="15">
                  <c:v>42963</c:v>
                </c:pt>
                <c:pt idx="16">
                  <c:v>42964</c:v>
                </c:pt>
                <c:pt idx="17">
                  <c:v>42965</c:v>
                </c:pt>
                <c:pt idx="18">
                  <c:v>42966</c:v>
                </c:pt>
                <c:pt idx="19">
                  <c:v>42967</c:v>
                </c:pt>
                <c:pt idx="20">
                  <c:v>42968</c:v>
                </c:pt>
                <c:pt idx="21">
                  <c:v>42969</c:v>
                </c:pt>
                <c:pt idx="22">
                  <c:v>42970</c:v>
                </c:pt>
                <c:pt idx="23">
                  <c:v>42971</c:v>
                </c:pt>
                <c:pt idx="24">
                  <c:v>42972</c:v>
                </c:pt>
                <c:pt idx="25">
                  <c:v>42973</c:v>
                </c:pt>
                <c:pt idx="26">
                  <c:v>42974</c:v>
                </c:pt>
                <c:pt idx="27">
                  <c:v>42975</c:v>
                </c:pt>
                <c:pt idx="28">
                  <c:v>42976</c:v>
                </c:pt>
                <c:pt idx="29">
                  <c:v>42977</c:v>
                </c:pt>
                <c:pt idx="30">
                  <c:v>42978</c:v>
                </c:pt>
                <c:pt idx="31">
                  <c:v>42979</c:v>
                </c:pt>
                <c:pt idx="32">
                  <c:v>42980</c:v>
                </c:pt>
                <c:pt idx="33">
                  <c:v>42981</c:v>
                </c:pt>
                <c:pt idx="34">
                  <c:v>42982</c:v>
                </c:pt>
                <c:pt idx="35">
                  <c:v>42983</c:v>
                </c:pt>
                <c:pt idx="36">
                  <c:v>42984</c:v>
                </c:pt>
                <c:pt idx="37">
                  <c:v>42985</c:v>
                </c:pt>
                <c:pt idx="38">
                  <c:v>42986</c:v>
                </c:pt>
                <c:pt idx="39">
                  <c:v>42987</c:v>
                </c:pt>
                <c:pt idx="40">
                  <c:v>42988</c:v>
                </c:pt>
                <c:pt idx="41">
                  <c:v>42989</c:v>
                </c:pt>
                <c:pt idx="42">
                  <c:v>42990</c:v>
                </c:pt>
                <c:pt idx="43">
                  <c:v>42991</c:v>
                </c:pt>
                <c:pt idx="44">
                  <c:v>42992</c:v>
                </c:pt>
                <c:pt idx="45">
                  <c:v>42993</c:v>
                </c:pt>
                <c:pt idx="46">
                  <c:v>42994</c:v>
                </c:pt>
                <c:pt idx="47">
                  <c:v>42995</c:v>
                </c:pt>
                <c:pt idx="48">
                  <c:v>42996</c:v>
                </c:pt>
                <c:pt idx="49">
                  <c:v>42997</c:v>
                </c:pt>
                <c:pt idx="50">
                  <c:v>42998</c:v>
                </c:pt>
                <c:pt idx="51">
                  <c:v>42999</c:v>
                </c:pt>
                <c:pt idx="52">
                  <c:v>43000</c:v>
                </c:pt>
                <c:pt idx="53">
                  <c:v>43001</c:v>
                </c:pt>
                <c:pt idx="54">
                  <c:v>43002</c:v>
                </c:pt>
                <c:pt idx="55">
                  <c:v>43003</c:v>
                </c:pt>
                <c:pt idx="56">
                  <c:v>43004</c:v>
                </c:pt>
                <c:pt idx="57">
                  <c:v>43005</c:v>
                </c:pt>
                <c:pt idx="58">
                  <c:v>43006</c:v>
                </c:pt>
                <c:pt idx="59">
                  <c:v>43007</c:v>
                </c:pt>
                <c:pt idx="60">
                  <c:v>43008</c:v>
                </c:pt>
                <c:pt idx="61">
                  <c:v>43009</c:v>
                </c:pt>
                <c:pt idx="62">
                  <c:v>43010</c:v>
                </c:pt>
                <c:pt idx="63">
                  <c:v>43011</c:v>
                </c:pt>
                <c:pt idx="64">
                  <c:v>43012</c:v>
                </c:pt>
                <c:pt idx="65">
                  <c:v>43013</c:v>
                </c:pt>
                <c:pt idx="66">
                  <c:v>43014</c:v>
                </c:pt>
                <c:pt idx="67">
                  <c:v>43015</c:v>
                </c:pt>
                <c:pt idx="68">
                  <c:v>43016</c:v>
                </c:pt>
                <c:pt idx="69">
                  <c:v>43017</c:v>
                </c:pt>
                <c:pt idx="70">
                  <c:v>43018</c:v>
                </c:pt>
                <c:pt idx="71">
                  <c:v>43019</c:v>
                </c:pt>
                <c:pt idx="72">
                  <c:v>43020</c:v>
                </c:pt>
                <c:pt idx="73">
                  <c:v>43021</c:v>
                </c:pt>
                <c:pt idx="74">
                  <c:v>43022</c:v>
                </c:pt>
                <c:pt idx="75">
                  <c:v>43023</c:v>
                </c:pt>
                <c:pt idx="76">
                  <c:v>43024</c:v>
                </c:pt>
                <c:pt idx="77">
                  <c:v>43025</c:v>
                </c:pt>
                <c:pt idx="78">
                  <c:v>43026</c:v>
                </c:pt>
                <c:pt idx="79">
                  <c:v>43027</c:v>
                </c:pt>
                <c:pt idx="80">
                  <c:v>43028</c:v>
                </c:pt>
                <c:pt idx="81">
                  <c:v>43029</c:v>
                </c:pt>
                <c:pt idx="82">
                  <c:v>43030</c:v>
                </c:pt>
                <c:pt idx="83">
                  <c:v>43031</c:v>
                </c:pt>
                <c:pt idx="84">
                  <c:v>43032</c:v>
                </c:pt>
                <c:pt idx="85">
                  <c:v>43033</c:v>
                </c:pt>
                <c:pt idx="86">
                  <c:v>43034</c:v>
                </c:pt>
                <c:pt idx="87">
                  <c:v>43035</c:v>
                </c:pt>
                <c:pt idx="88">
                  <c:v>43036</c:v>
                </c:pt>
                <c:pt idx="89">
                  <c:v>43037</c:v>
                </c:pt>
                <c:pt idx="90">
                  <c:v>43038</c:v>
                </c:pt>
                <c:pt idx="91">
                  <c:v>43039</c:v>
                </c:pt>
                <c:pt idx="92">
                  <c:v>43040</c:v>
                </c:pt>
                <c:pt idx="93">
                  <c:v>43041</c:v>
                </c:pt>
                <c:pt idx="94">
                  <c:v>43042</c:v>
                </c:pt>
                <c:pt idx="95">
                  <c:v>43043</c:v>
                </c:pt>
                <c:pt idx="96">
                  <c:v>43044</c:v>
                </c:pt>
                <c:pt idx="97">
                  <c:v>43045</c:v>
                </c:pt>
                <c:pt idx="98">
                  <c:v>43046</c:v>
                </c:pt>
                <c:pt idx="99">
                  <c:v>43047</c:v>
                </c:pt>
                <c:pt idx="100">
                  <c:v>43048</c:v>
                </c:pt>
                <c:pt idx="101">
                  <c:v>43049</c:v>
                </c:pt>
                <c:pt idx="102">
                  <c:v>43050</c:v>
                </c:pt>
                <c:pt idx="103">
                  <c:v>43051</c:v>
                </c:pt>
                <c:pt idx="104">
                  <c:v>43052</c:v>
                </c:pt>
                <c:pt idx="105">
                  <c:v>43053</c:v>
                </c:pt>
                <c:pt idx="106">
                  <c:v>43054</c:v>
                </c:pt>
                <c:pt idx="107">
                  <c:v>43055</c:v>
                </c:pt>
                <c:pt idx="108">
                  <c:v>43056</c:v>
                </c:pt>
                <c:pt idx="109">
                  <c:v>43057</c:v>
                </c:pt>
                <c:pt idx="110">
                  <c:v>43058</c:v>
                </c:pt>
                <c:pt idx="111">
                  <c:v>43059</c:v>
                </c:pt>
                <c:pt idx="112">
                  <c:v>43060</c:v>
                </c:pt>
                <c:pt idx="113">
                  <c:v>43061</c:v>
                </c:pt>
                <c:pt idx="114">
                  <c:v>43062</c:v>
                </c:pt>
                <c:pt idx="115">
                  <c:v>43063</c:v>
                </c:pt>
                <c:pt idx="116">
                  <c:v>43064</c:v>
                </c:pt>
                <c:pt idx="117">
                  <c:v>43065</c:v>
                </c:pt>
                <c:pt idx="118">
                  <c:v>43066</c:v>
                </c:pt>
                <c:pt idx="119">
                  <c:v>43067</c:v>
                </c:pt>
                <c:pt idx="120">
                  <c:v>43068</c:v>
                </c:pt>
                <c:pt idx="121">
                  <c:v>43069</c:v>
                </c:pt>
                <c:pt idx="122">
                  <c:v>43070</c:v>
                </c:pt>
                <c:pt idx="123">
                  <c:v>43071</c:v>
                </c:pt>
                <c:pt idx="124">
                  <c:v>43072</c:v>
                </c:pt>
                <c:pt idx="125">
                  <c:v>43073</c:v>
                </c:pt>
                <c:pt idx="126">
                  <c:v>43074</c:v>
                </c:pt>
                <c:pt idx="127">
                  <c:v>43075</c:v>
                </c:pt>
                <c:pt idx="128">
                  <c:v>43076</c:v>
                </c:pt>
                <c:pt idx="129">
                  <c:v>43077</c:v>
                </c:pt>
                <c:pt idx="130">
                  <c:v>43078</c:v>
                </c:pt>
                <c:pt idx="131">
                  <c:v>43079</c:v>
                </c:pt>
                <c:pt idx="132">
                  <c:v>43080</c:v>
                </c:pt>
                <c:pt idx="133">
                  <c:v>43081</c:v>
                </c:pt>
                <c:pt idx="134">
                  <c:v>43082</c:v>
                </c:pt>
                <c:pt idx="135">
                  <c:v>43083</c:v>
                </c:pt>
                <c:pt idx="136">
                  <c:v>43084</c:v>
                </c:pt>
                <c:pt idx="137">
                  <c:v>43085</c:v>
                </c:pt>
                <c:pt idx="138">
                  <c:v>43086</c:v>
                </c:pt>
                <c:pt idx="139">
                  <c:v>43087</c:v>
                </c:pt>
                <c:pt idx="140">
                  <c:v>43088</c:v>
                </c:pt>
                <c:pt idx="141">
                  <c:v>43089</c:v>
                </c:pt>
                <c:pt idx="142">
                  <c:v>43090</c:v>
                </c:pt>
                <c:pt idx="143">
                  <c:v>43091</c:v>
                </c:pt>
                <c:pt idx="144">
                  <c:v>43092</c:v>
                </c:pt>
                <c:pt idx="145">
                  <c:v>43093</c:v>
                </c:pt>
                <c:pt idx="146">
                  <c:v>43094</c:v>
                </c:pt>
                <c:pt idx="147">
                  <c:v>43095</c:v>
                </c:pt>
                <c:pt idx="148">
                  <c:v>43096</c:v>
                </c:pt>
                <c:pt idx="149">
                  <c:v>43097</c:v>
                </c:pt>
                <c:pt idx="150">
                  <c:v>43098</c:v>
                </c:pt>
                <c:pt idx="151">
                  <c:v>43099</c:v>
                </c:pt>
                <c:pt idx="152">
                  <c:v>43100</c:v>
                </c:pt>
                <c:pt idx="153">
                  <c:v>43101</c:v>
                </c:pt>
                <c:pt idx="154">
                  <c:v>43102</c:v>
                </c:pt>
                <c:pt idx="155">
                  <c:v>43103</c:v>
                </c:pt>
                <c:pt idx="156">
                  <c:v>43104</c:v>
                </c:pt>
                <c:pt idx="157">
                  <c:v>43105</c:v>
                </c:pt>
                <c:pt idx="158">
                  <c:v>43106</c:v>
                </c:pt>
                <c:pt idx="159">
                  <c:v>43107</c:v>
                </c:pt>
                <c:pt idx="160">
                  <c:v>43108</c:v>
                </c:pt>
                <c:pt idx="161">
                  <c:v>43109</c:v>
                </c:pt>
                <c:pt idx="162">
                  <c:v>43110</c:v>
                </c:pt>
                <c:pt idx="163">
                  <c:v>43111</c:v>
                </c:pt>
                <c:pt idx="164">
                  <c:v>43112</c:v>
                </c:pt>
                <c:pt idx="165">
                  <c:v>43113</c:v>
                </c:pt>
                <c:pt idx="166">
                  <c:v>43114</c:v>
                </c:pt>
                <c:pt idx="167">
                  <c:v>43115</c:v>
                </c:pt>
                <c:pt idx="168">
                  <c:v>43116</c:v>
                </c:pt>
                <c:pt idx="169">
                  <c:v>43117</c:v>
                </c:pt>
                <c:pt idx="170">
                  <c:v>43118</c:v>
                </c:pt>
                <c:pt idx="171">
                  <c:v>43119</c:v>
                </c:pt>
                <c:pt idx="172">
                  <c:v>43120</c:v>
                </c:pt>
                <c:pt idx="173">
                  <c:v>43121</c:v>
                </c:pt>
                <c:pt idx="174">
                  <c:v>43122</c:v>
                </c:pt>
                <c:pt idx="175">
                  <c:v>43123</c:v>
                </c:pt>
                <c:pt idx="176">
                  <c:v>43124</c:v>
                </c:pt>
                <c:pt idx="177">
                  <c:v>43125</c:v>
                </c:pt>
                <c:pt idx="178">
                  <c:v>43126</c:v>
                </c:pt>
                <c:pt idx="179">
                  <c:v>43127</c:v>
                </c:pt>
                <c:pt idx="180">
                  <c:v>43128</c:v>
                </c:pt>
                <c:pt idx="181">
                  <c:v>43129</c:v>
                </c:pt>
                <c:pt idx="182">
                  <c:v>43130</c:v>
                </c:pt>
                <c:pt idx="183">
                  <c:v>43131</c:v>
                </c:pt>
                <c:pt idx="184">
                  <c:v>43132</c:v>
                </c:pt>
                <c:pt idx="185">
                  <c:v>43133</c:v>
                </c:pt>
                <c:pt idx="186">
                  <c:v>43134</c:v>
                </c:pt>
                <c:pt idx="187">
                  <c:v>43135</c:v>
                </c:pt>
                <c:pt idx="188">
                  <c:v>43136</c:v>
                </c:pt>
                <c:pt idx="189">
                  <c:v>43137</c:v>
                </c:pt>
                <c:pt idx="190">
                  <c:v>43138</c:v>
                </c:pt>
                <c:pt idx="191">
                  <c:v>43139</c:v>
                </c:pt>
                <c:pt idx="192">
                  <c:v>43140</c:v>
                </c:pt>
                <c:pt idx="193">
                  <c:v>43141</c:v>
                </c:pt>
                <c:pt idx="194">
                  <c:v>43142</c:v>
                </c:pt>
                <c:pt idx="195">
                  <c:v>43143</c:v>
                </c:pt>
                <c:pt idx="196">
                  <c:v>43144</c:v>
                </c:pt>
                <c:pt idx="197">
                  <c:v>43145</c:v>
                </c:pt>
                <c:pt idx="198">
                  <c:v>43146</c:v>
                </c:pt>
                <c:pt idx="199">
                  <c:v>43147</c:v>
                </c:pt>
                <c:pt idx="200">
                  <c:v>43148</c:v>
                </c:pt>
                <c:pt idx="201">
                  <c:v>43149</c:v>
                </c:pt>
                <c:pt idx="202">
                  <c:v>43150</c:v>
                </c:pt>
                <c:pt idx="203">
                  <c:v>43151</c:v>
                </c:pt>
                <c:pt idx="204">
                  <c:v>43152</c:v>
                </c:pt>
                <c:pt idx="205">
                  <c:v>43153</c:v>
                </c:pt>
                <c:pt idx="206">
                  <c:v>43154</c:v>
                </c:pt>
                <c:pt idx="207">
                  <c:v>43155</c:v>
                </c:pt>
                <c:pt idx="208">
                  <c:v>43156</c:v>
                </c:pt>
                <c:pt idx="209">
                  <c:v>43157</c:v>
                </c:pt>
                <c:pt idx="210">
                  <c:v>43158</c:v>
                </c:pt>
                <c:pt idx="211">
                  <c:v>43159</c:v>
                </c:pt>
                <c:pt idx="212">
                  <c:v>43160</c:v>
                </c:pt>
                <c:pt idx="213">
                  <c:v>43161</c:v>
                </c:pt>
                <c:pt idx="214">
                  <c:v>43162</c:v>
                </c:pt>
                <c:pt idx="215">
                  <c:v>43163</c:v>
                </c:pt>
                <c:pt idx="216">
                  <c:v>43164</c:v>
                </c:pt>
                <c:pt idx="217">
                  <c:v>43165</c:v>
                </c:pt>
                <c:pt idx="218">
                  <c:v>43166</c:v>
                </c:pt>
                <c:pt idx="219">
                  <c:v>43167</c:v>
                </c:pt>
                <c:pt idx="220">
                  <c:v>43168</c:v>
                </c:pt>
                <c:pt idx="221">
                  <c:v>43169</c:v>
                </c:pt>
                <c:pt idx="222">
                  <c:v>43170</c:v>
                </c:pt>
                <c:pt idx="223">
                  <c:v>43171</c:v>
                </c:pt>
                <c:pt idx="224">
                  <c:v>43172</c:v>
                </c:pt>
                <c:pt idx="225">
                  <c:v>43173</c:v>
                </c:pt>
                <c:pt idx="226">
                  <c:v>43174</c:v>
                </c:pt>
                <c:pt idx="227">
                  <c:v>43175</c:v>
                </c:pt>
                <c:pt idx="228">
                  <c:v>43176</c:v>
                </c:pt>
                <c:pt idx="229">
                  <c:v>43177</c:v>
                </c:pt>
                <c:pt idx="230">
                  <c:v>43178</c:v>
                </c:pt>
                <c:pt idx="231">
                  <c:v>43179</c:v>
                </c:pt>
                <c:pt idx="232">
                  <c:v>43180</c:v>
                </c:pt>
                <c:pt idx="233">
                  <c:v>43181</c:v>
                </c:pt>
                <c:pt idx="234">
                  <c:v>43182</c:v>
                </c:pt>
                <c:pt idx="235">
                  <c:v>43183</c:v>
                </c:pt>
                <c:pt idx="236">
                  <c:v>43184</c:v>
                </c:pt>
                <c:pt idx="237">
                  <c:v>43185</c:v>
                </c:pt>
                <c:pt idx="238">
                  <c:v>43186</c:v>
                </c:pt>
                <c:pt idx="239">
                  <c:v>43187</c:v>
                </c:pt>
              </c:numCache>
            </c:numRef>
          </c:cat>
          <c:val>
            <c:numRef>
              <c:f>[0]!Flow_Range</c:f>
              <c:numCache>
                <c:formatCode>General</c:formatCode>
                <c:ptCount val="2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  <c:pt idx="33">
                  <c:v>8</c:v>
                </c:pt>
                <c:pt idx="34">
                  <c:v>8</c:v>
                </c:pt>
                <c:pt idx="35">
                  <c:v>8</c:v>
                </c:pt>
                <c:pt idx="36">
                  <c:v>8</c:v>
                </c:pt>
                <c:pt idx="37">
                  <c:v>8</c:v>
                </c:pt>
                <c:pt idx="38">
                  <c:v>8</c:v>
                </c:pt>
                <c:pt idx="39">
                  <c:v>8</c:v>
                </c:pt>
                <c:pt idx="40">
                  <c:v>18</c:v>
                </c:pt>
                <c:pt idx="41">
                  <c:v>18</c:v>
                </c:pt>
                <c:pt idx="42">
                  <c:v>18</c:v>
                </c:pt>
                <c:pt idx="43">
                  <c:v>18</c:v>
                </c:pt>
                <c:pt idx="44">
                  <c:v>18</c:v>
                </c:pt>
                <c:pt idx="45">
                  <c:v>18</c:v>
                </c:pt>
                <c:pt idx="46">
                  <c:v>18</c:v>
                </c:pt>
                <c:pt idx="47">
                  <c:v>18</c:v>
                </c:pt>
                <c:pt idx="48">
                  <c:v>18</c:v>
                </c:pt>
                <c:pt idx="49">
                  <c:v>18</c:v>
                </c:pt>
                <c:pt idx="50">
                  <c:v>18</c:v>
                </c:pt>
                <c:pt idx="51">
                  <c:v>18</c:v>
                </c:pt>
                <c:pt idx="52">
                  <c:v>18</c:v>
                </c:pt>
                <c:pt idx="53">
                  <c:v>18</c:v>
                </c:pt>
                <c:pt idx="54">
                  <c:v>18</c:v>
                </c:pt>
                <c:pt idx="55">
                  <c:v>18</c:v>
                </c:pt>
                <c:pt idx="56">
                  <c:v>18</c:v>
                </c:pt>
                <c:pt idx="57">
                  <c:v>18</c:v>
                </c:pt>
                <c:pt idx="58">
                  <c:v>18</c:v>
                </c:pt>
                <c:pt idx="59">
                  <c:v>18</c:v>
                </c:pt>
                <c:pt idx="60">
                  <c:v>18</c:v>
                </c:pt>
                <c:pt idx="61">
                  <c:v>18</c:v>
                </c:pt>
                <c:pt idx="62">
                  <c:v>18</c:v>
                </c:pt>
                <c:pt idx="63">
                  <c:v>18</c:v>
                </c:pt>
                <c:pt idx="64">
                  <c:v>18</c:v>
                </c:pt>
                <c:pt idx="65">
                  <c:v>18</c:v>
                </c:pt>
                <c:pt idx="66">
                  <c:v>18</c:v>
                </c:pt>
                <c:pt idx="67">
                  <c:v>18</c:v>
                </c:pt>
                <c:pt idx="68">
                  <c:v>18</c:v>
                </c:pt>
                <c:pt idx="69">
                  <c:v>18</c:v>
                </c:pt>
                <c:pt idx="70">
                  <c:v>18</c:v>
                </c:pt>
                <c:pt idx="71">
                  <c:v>18</c:v>
                </c:pt>
                <c:pt idx="72">
                  <c:v>18</c:v>
                </c:pt>
                <c:pt idx="73">
                  <c:v>18</c:v>
                </c:pt>
                <c:pt idx="74">
                  <c:v>18</c:v>
                </c:pt>
                <c:pt idx="75">
                  <c:v>18</c:v>
                </c:pt>
                <c:pt idx="76">
                  <c:v>18</c:v>
                </c:pt>
                <c:pt idx="77">
                  <c:v>18</c:v>
                </c:pt>
                <c:pt idx="78">
                  <c:v>18</c:v>
                </c:pt>
                <c:pt idx="79">
                  <c:v>18</c:v>
                </c:pt>
                <c:pt idx="80">
                  <c:v>18</c:v>
                </c:pt>
                <c:pt idx="81">
                  <c:v>18</c:v>
                </c:pt>
                <c:pt idx="82">
                  <c:v>18</c:v>
                </c:pt>
                <c:pt idx="83">
                  <c:v>18</c:v>
                </c:pt>
                <c:pt idx="84">
                  <c:v>18</c:v>
                </c:pt>
                <c:pt idx="85">
                  <c:v>18</c:v>
                </c:pt>
                <c:pt idx="86">
                  <c:v>18</c:v>
                </c:pt>
                <c:pt idx="87">
                  <c:v>18</c:v>
                </c:pt>
                <c:pt idx="88">
                  <c:v>18</c:v>
                </c:pt>
                <c:pt idx="89">
                  <c:v>18</c:v>
                </c:pt>
                <c:pt idx="90">
                  <c:v>18</c:v>
                </c:pt>
                <c:pt idx="91">
                  <c:v>18</c:v>
                </c:pt>
                <c:pt idx="92">
                  <c:v>18</c:v>
                </c:pt>
                <c:pt idx="93">
                  <c:v>18</c:v>
                </c:pt>
                <c:pt idx="94">
                  <c:v>18</c:v>
                </c:pt>
                <c:pt idx="95">
                  <c:v>18</c:v>
                </c:pt>
                <c:pt idx="96">
                  <c:v>18</c:v>
                </c:pt>
                <c:pt idx="97">
                  <c:v>18</c:v>
                </c:pt>
                <c:pt idx="98">
                  <c:v>18</c:v>
                </c:pt>
                <c:pt idx="99">
                  <c:v>18</c:v>
                </c:pt>
                <c:pt idx="100">
                  <c:v>18</c:v>
                </c:pt>
                <c:pt idx="101">
                  <c:v>18</c:v>
                </c:pt>
                <c:pt idx="102">
                  <c:v>18</c:v>
                </c:pt>
                <c:pt idx="103">
                  <c:v>18</c:v>
                </c:pt>
                <c:pt idx="104">
                  <c:v>18</c:v>
                </c:pt>
                <c:pt idx="105">
                  <c:v>20</c:v>
                </c:pt>
                <c:pt idx="106">
                  <c:v>20</c:v>
                </c:pt>
                <c:pt idx="107">
                  <c:v>20</c:v>
                </c:pt>
                <c:pt idx="108">
                  <c:v>20</c:v>
                </c:pt>
                <c:pt idx="109">
                  <c:v>20</c:v>
                </c:pt>
                <c:pt idx="110">
                  <c:v>20</c:v>
                </c:pt>
                <c:pt idx="111">
                  <c:v>20</c:v>
                </c:pt>
                <c:pt idx="112">
                  <c:v>20</c:v>
                </c:pt>
                <c:pt idx="113">
                  <c:v>21</c:v>
                </c:pt>
                <c:pt idx="114">
                  <c:v>22</c:v>
                </c:pt>
                <c:pt idx="115">
                  <c:v>22</c:v>
                </c:pt>
                <c:pt idx="116">
                  <c:v>22</c:v>
                </c:pt>
                <c:pt idx="117">
                  <c:v>22</c:v>
                </c:pt>
                <c:pt idx="118">
                  <c:v>22</c:v>
                </c:pt>
                <c:pt idx="119">
                  <c:v>24</c:v>
                </c:pt>
                <c:pt idx="120">
                  <c:v>24</c:v>
                </c:pt>
                <c:pt idx="121">
                  <c:v>24</c:v>
                </c:pt>
                <c:pt idx="122">
                  <c:v>24</c:v>
                </c:pt>
                <c:pt idx="123">
                  <c:v>24</c:v>
                </c:pt>
                <c:pt idx="124">
                  <c:v>25</c:v>
                </c:pt>
                <c:pt idx="125">
                  <c:v>25</c:v>
                </c:pt>
                <c:pt idx="126">
                  <c:v>25</c:v>
                </c:pt>
                <c:pt idx="127">
                  <c:v>25</c:v>
                </c:pt>
                <c:pt idx="128">
                  <c:v>25</c:v>
                </c:pt>
                <c:pt idx="129">
                  <c:v>25</c:v>
                </c:pt>
                <c:pt idx="130">
                  <c:v>25</c:v>
                </c:pt>
                <c:pt idx="131">
                  <c:v>25</c:v>
                </c:pt>
                <c:pt idx="132">
                  <c:v>25</c:v>
                </c:pt>
                <c:pt idx="133">
                  <c:v>25</c:v>
                </c:pt>
                <c:pt idx="134">
                  <c:v>25</c:v>
                </c:pt>
                <c:pt idx="135">
                  <c:v>25</c:v>
                </c:pt>
                <c:pt idx="136">
                  <c:v>25</c:v>
                </c:pt>
                <c:pt idx="137">
                  <c:v>25</c:v>
                </c:pt>
                <c:pt idx="138">
                  <c:v>25</c:v>
                </c:pt>
                <c:pt idx="139">
                  <c:v>25</c:v>
                </c:pt>
                <c:pt idx="140">
                  <c:v>25</c:v>
                </c:pt>
                <c:pt idx="141">
                  <c:v>27</c:v>
                </c:pt>
                <c:pt idx="142">
                  <c:v>27</c:v>
                </c:pt>
                <c:pt idx="143">
                  <c:v>27</c:v>
                </c:pt>
                <c:pt idx="144">
                  <c:v>27</c:v>
                </c:pt>
                <c:pt idx="145">
                  <c:v>27</c:v>
                </c:pt>
                <c:pt idx="146">
                  <c:v>27</c:v>
                </c:pt>
                <c:pt idx="147">
                  <c:v>28</c:v>
                </c:pt>
                <c:pt idx="148">
                  <c:v>29</c:v>
                </c:pt>
                <c:pt idx="149">
                  <c:v>29</c:v>
                </c:pt>
                <c:pt idx="150">
                  <c:v>29</c:v>
                </c:pt>
                <c:pt idx="151">
                  <c:v>29</c:v>
                </c:pt>
                <c:pt idx="152">
                  <c:v>29</c:v>
                </c:pt>
                <c:pt idx="153">
                  <c:v>29</c:v>
                </c:pt>
                <c:pt idx="154">
                  <c:v>29</c:v>
                </c:pt>
                <c:pt idx="155">
                  <c:v>29</c:v>
                </c:pt>
                <c:pt idx="156">
                  <c:v>29</c:v>
                </c:pt>
                <c:pt idx="157">
                  <c:v>29</c:v>
                </c:pt>
                <c:pt idx="158">
                  <c:v>29</c:v>
                </c:pt>
                <c:pt idx="159">
                  <c:v>29</c:v>
                </c:pt>
                <c:pt idx="160">
                  <c:v>29</c:v>
                </c:pt>
                <c:pt idx="161">
                  <c:v>29</c:v>
                </c:pt>
                <c:pt idx="162">
                  <c:v>29</c:v>
                </c:pt>
                <c:pt idx="163">
                  <c:v>29</c:v>
                </c:pt>
                <c:pt idx="164">
                  <c:v>29</c:v>
                </c:pt>
                <c:pt idx="165">
                  <c:v>29</c:v>
                </c:pt>
                <c:pt idx="166">
                  <c:v>29</c:v>
                </c:pt>
                <c:pt idx="167">
                  <c:v>30</c:v>
                </c:pt>
                <c:pt idx="168">
                  <c:v>30</c:v>
                </c:pt>
                <c:pt idx="169">
                  <c:v>30</c:v>
                </c:pt>
                <c:pt idx="170">
                  <c:v>30</c:v>
                </c:pt>
                <c:pt idx="171">
                  <c:v>30</c:v>
                </c:pt>
                <c:pt idx="172">
                  <c:v>30</c:v>
                </c:pt>
                <c:pt idx="173">
                  <c:v>30</c:v>
                </c:pt>
                <c:pt idx="174">
                  <c:v>30</c:v>
                </c:pt>
                <c:pt idx="175">
                  <c:v>31</c:v>
                </c:pt>
                <c:pt idx="176">
                  <c:v>31</c:v>
                </c:pt>
                <c:pt idx="177">
                  <c:v>32</c:v>
                </c:pt>
                <c:pt idx="178">
                  <c:v>32</c:v>
                </c:pt>
                <c:pt idx="179">
                  <c:v>32</c:v>
                </c:pt>
                <c:pt idx="180">
                  <c:v>32</c:v>
                </c:pt>
                <c:pt idx="181">
                  <c:v>32</c:v>
                </c:pt>
                <c:pt idx="182">
                  <c:v>32</c:v>
                </c:pt>
                <c:pt idx="183">
                  <c:v>32</c:v>
                </c:pt>
                <c:pt idx="184">
                  <c:v>32</c:v>
                </c:pt>
                <c:pt idx="185">
                  <c:v>32</c:v>
                </c:pt>
                <c:pt idx="186">
                  <c:v>32</c:v>
                </c:pt>
                <c:pt idx="187">
                  <c:v>32</c:v>
                </c:pt>
                <c:pt idx="188">
                  <c:v>32</c:v>
                </c:pt>
                <c:pt idx="189">
                  <c:v>32</c:v>
                </c:pt>
                <c:pt idx="190">
                  <c:v>33</c:v>
                </c:pt>
                <c:pt idx="191">
                  <c:v>33</c:v>
                </c:pt>
                <c:pt idx="192">
                  <c:v>33</c:v>
                </c:pt>
                <c:pt idx="193">
                  <c:v>33</c:v>
                </c:pt>
                <c:pt idx="194">
                  <c:v>33</c:v>
                </c:pt>
                <c:pt idx="195">
                  <c:v>33</c:v>
                </c:pt>
                <c:pt idx="196">
                  <c:v>33</c:v>
                </c:pt>
                <c:pt idx="197">
                  <c:v>33</c:v>
                </c:pt>
                <c:pt idx="198">
                  <c:v>33</c:v>
                </c:pt>
                <c:pt idx="199">
                  <c:v>33</c:v>
                </c:pt>
                <c:pt idx="200">
                  <c:v>33</c:v>
                </c:pt>
                <c:pt idx="201">
                  <c:v>33</c:v>
                </c:pt>
                <c:pt idx="202">
                  <c:v>33</c:v>
                </c:pt>
                <c:pt idx="203">
                  <c:v>33</c:v>
                </c:pt>
                <c:pt idx="204">
                  <c:v>33</c:v>
                </c:pt>
                <c:pt idx="205">
                  <c:v>33</c:v>
                </c:pt>
                <c:pt idx="206">
                  <c:v>33</c:v>
                </c:pt>
                <c:pt idx="207">
                  <c:v>33</c:v>
                </c:pt>
                <c:pt idx="208">
                  <c:v>33</c:v>
                </c:pt>
                <c:pt idx="209">
                  <c:v>33</c:v>
                </c:pt>
                <c:pt idx="210">
                  <c:v>36</c:v>
                </c:pt>
                <c:pt idx="211">
                  <c:v>36</c:v>
                </c:pt>
                <c:pt idx="212">
                  <c:v>36</c:v>
                </c:pt>
                <c:pt idx="213">
                  <c:v>36</c:v>
                </c:pt>
                <c:pt idx="214">
                  <c:v>36</c:v>
                </c:pt>
                <c:pt idx="215">
                  <c:v>36</c:v>
                </c:pt>
                <c:pt idx="216">
                  <c:v>36</c:v>
                </c:pt>
                <c:pt idx="217">
                  <c:v>36</c:v>
                </c:pt>
                <c:pt idx="218">
                  <c:v>36</c:v>
                </c:pt>
                <c:pt idx="219">
                  <c:v>37</c:v>
                </c:pt>
                <c:pt idx="220">
                  <c:v>37</c:v>
                </c:pt>
                <c:pt idx="221">
                  <c:v>37</c:v>
                </c:pt>
                <c:pt idx="222">
                  <c:v>37</c:v>
                </c:pt>
                <c:pt idx="223">
                  <c:v>37</c:v>
                </c:pt>
                <c:pt idx="224">
                  <c:v>37</c:v>
                </c:pt>
                <c:pt idx="225">
                  <c:v>37</c:v>
                </c:pt>
                <c:pt idx="226">
                  <c:v>37</c:v>
                </c:pt>
                <c:pt idx="227">
                  <c:v>37</c:v>
                </c:pt>
                <c:pt idx="228">
                  <c:v>37</c:v>
                </c:pt>
                <c:pt idx="229">
                  <c:v>37</c:v>
                </c:pt>
                <c:pt idx="230">
                  <c:v>37</c:v>
                </c:pt>
                <c:pt idx="231">
                  <c:v>37</c:v>
                </c:pt>
                <c:pt idx="232">
                  <c:v>37</c:v>
                </c:pt>
                <c:pt idx="233">
                  <c:v>37</c:v>
                </c:pt>
                <c:pt idx="234">
                  <c:v>37</c:v>
                </c:pt>
                <c:pt idx="235">
                  <c:v>37</c:v>
                </c:pt>
                <c:pt idx="236">
                  <c:v>37</c:v>
                </c:pt>
                <c:pt idx="237">
                  <c:v>37</c:v>
                </c:pt>
                <c:pt idx="238">
                  <c:v>37</c:v>
                </c:pt>
                <c:pt idx="239">
                  <c:v>37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0891144"/>
        <c:axId val="298104016"/>
      </c:lineChart>
      <c:dateAx>
        <c:axId val="230891144"/>
        <c:scaling>
          <c:orientation val="minMax"/>
        </c:scaling>
        <c:delete val="0"/>
        <c:axPos val="b"/>
        <c:numFmt formatCode="m/d/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104016"/>
        <c:crosses val="autoZero"/>
        <c:auto val="1"/>
        <c:lblOffset val="100"/>
        <c:baseTimeUnit val="days"/>
      </c:dateAx>
      <c:valAx>
        <c:axId val="298104016"/>
        <c:scaling>
          <c:orientation val="minMax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891144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0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jpeg"/><Relationship Id="rId11" Type="http://schemas.openxmlformats.org/officeDocument/2006/relationships/image" Target="../media/image11.png"/><Relationship Id="rId5" Type="http://schemas.openxmlformats.org/officeDocument/2006/relationships/image" Target="../media/image6.png"/><Relationship Id="rId10" Type="http://schemas.openxmlformats.org/officeDocument/2006/relationships/image" Target="../media/image10.gif"/><Relationship Id="rId4" Type="http://schemas.openxmlformats.org/officeDocument/2006/relationships/image" Target="../media/image5.jpeg"/><Relationship Id="rId9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192943</xdr:colOff>
      <xdr:row>0</xdr:row>
      <xdr:rowOff>107950</xdr:rowOff>
    </xdr:from>
    <xdr:to>
      <xdr:col>9</xdr:col>
      <xdr:colOff>511725</xdr:colOff>
      <xdr:row>2</xdr:row>
      <xdr:rowOff>82550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11725520" y="107950"/>
          <a:ext cx="1535051" cy="37025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28574</xdr:colOff>
      <xdr:row>4</xdr:row>
      <xdr:rowOff>142875</xdr:rowOff>
    </xdr:from>
    <xdr:to>
      <xdr:col>2</xdr:col>
      <xdr:colOff>1057274</xdr:colOff>
      <xdr:row>4</xdr:row>
      <xdr:rowOff>563048</xdr:rowOff>
    </xdr:to>
    <xdr:pic>
      <xdr:nvPicPr>
        <xdr:cNvPr id="3" name="Picture 2" descr="Glob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774" y="1466850"/>
          <a:ext cx="1028700" cy="4201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79607</xdr:colOff>
      <xdr:row>5</xdr:row>
      <xdr:rowOff>110892</xdr:rowOff>
    </xdr:from>
    <xdr:to>
      <xdr:col>2</xdr:col>
      <xdr:colOff>1006241</xdr:colOff>
      <xdr:row>5</xdr:row>
      <xdr:rowOff>495300</xdr:rowOff>
    </xdr:to>
    <xdr:pic>
      <xdr:nvPicPr>
        <xdr:cNvPr id="5" name="Picture 4" descr="תוצאת תמונה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8807" y="1539642"/>
          <a:ext cx="926634" cy="384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28575</xdr:colOff>
      <xdr:row>6</xdr:row>
      <xdr:rowOff>168933</xdr:rowOff>
    </xdr:from>
    <xdr:to>
      <xdr:col>2</xdr:col>
      <xdr:colOff>1057274</xdr:colOff>
      <xdr:row>6</xdr:row>
      <xdr:rowOff>452764</xdr:rowOff>
    </xdr:to>
    <xdr:pic>
      <xdr:nvPicPr>
        <xdr:cNvPr id="6" name="Picture 5" descr="תוצאת תמונה עבור ‪xl axiata‬‏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775" y="2226333"/>
          <a:ext cx="1028699" cy="2838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52179</xdr:colOff>
      <xdr:row>7</xdr:row>
      <xdr:rowOff>209551</xdr:rowOff>
    </xdr:from>
    <xdr:to>
      <xdr:col>2</xdr:col>
      <xdr:colOff>1033670</xdr:colOff>
      <xdr:row>7</xdr:row>
      <xdr:rowOff>457200</xdr:rowOff>
    </xdr:to>
    <xdr:pic>
      <xdr:nvPicPr>
        <xdr:cNvPr id="7" name="Picture 6" descr="תמונה קשורה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446" t="24658" r="12884" b="38082"/>
        <a:stretch/>
      </xdr:blipFill>
      <xdr:spPr bwMode="auto">
        <a:xfrm>
          <a:off x="1271379" y="2895601"/>
          <a:ext cx="981491" cy="2476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33337</xdr:colOff>
      <xdr:row>8</xdr:row>
      <xdr:rowOff>180976</xdr:rowOff>
    </xdr:from>
    <xdr:to>
      <xdr:col>2</xdr:col>
      <xdr:colOff>1052512</xdr:colOff>
      <xdr:row>8</xdr:row>
      <xdr:rowOff>450102</xdr:rowOff>
    </xdr:to>
    <xdr:pic>
      <xdr:nvPicPr>
        <xdr:cNvPr id="9" name="Picture 8" descr="תמונה קשורה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2537" y="4105276"/>
          <a:ext cx="1019175" cy="2691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209549</xdr:colOff>
      <xdr:row>9</xdr:row>
      <xdr:rowOff>114301</xdr:rowOff>
    </xdr:from>
    <xdr:to>
      <xdr:col>2</xdr:col>
      <xdr:colOff>876299</xdr:colOff>
      <xdr:row>9</xdr:row>
      <xdr:rowOff>503863</xdr:rowOff>
    </xdr:to>
    <xdr:pic>
      <xdr:nvPicPr>
        <xdr:cNvPr id="11" name="Picture 10" descr="תוצאת תמונה עבור ‪bell canada logo‬‏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91" t="8561" r="25075" b="10506"/>
        <a:stretch/>
      </xdr:blipFill>
      <xdr:spPr bwMode="auto">
        <a:xfrm>
          <a:off x="1428749" y="4581526"/>
          <a:ext cx="666750" cy="389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239537</xdr:colOff>
      <xdr:row>10</xdr:row>
      <xdr:rowOff>38099</xdr:rowOff>
    </xdr:from>
    <xdr:to>
      <xdr:col>2</xdr:col>
      <xdr:colOff>846312</xdr:colOff>
      <xdr:row>10</xdr:row>
      <xdr:rowOff>590550</xdr:rowOff>
    </xdr:to>
    <xdr:pic>
      <xdr:nvPicPr>
        <xdr:cNvPr id="16" name="Picture 15" descr="File:Bharti Airtel Limited.svg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8737" y="5133974"/>
          <a:ext cx="606775" cy="5524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600075</xdr:colOff>
      <xdr:row>11</xdr:row>
      <xdr:rowOff>180975</xdr:rowOff>
    </xdr:from>
    <xdr:to>
      <xdr:col>3</xdr:col>
      <xdr:colOff>9667</xdr:colOff>
      <xdr:row>11</xdr:row>
      <xdr:rowOff>485775</xdr:rowOff>
    </xdr:to>
    <xdr:pic>
      <xdr:nvPicPr>
        <xdr:cNvPr id="20" name="Picture 19" descr="תוצאת תמונה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7294" y="6015038"/>
          <a:ext cx="1112186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609599</xdr:colOff>
      <xdr:row>3</xdr:row>
      <xdr:rowOff>61911</xdr:rowOff>
    </xdr:from>
    <xdr:to>
      <xdr:col>28</xdr:col>
      <xdr:colOff>200024</xdr:colOff>
      <xdr:row>10</xdr:row>
      <xdr:rowOff>257174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2</xdr:col>
      <xdr:colOff>9525</xdr:colOff>
      <xdr:row>12</xdr:row>
      <xdr:rowOff>219075</xdr:rowOff>
    </xdr:from>
    <xdr:to>
      <xdr:col>2</xdr:col>
      <xdr:colOff>1092991</xdr:colOff>
      <xdr:row>12</xdr:row>
      <xdr:rowOff>419100</xdr:rowOff>
    </xdr:to>
    <xdr:pic>
      <xdr:nvPicPr>
        <xdr:cNvPr id="13" name="Picture 12" descr="https://botw-pd.s3.amazonaws.com/styles/logo-thumbnail/s3/0014/1970/brand.gif?itok=99JF-LeV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1538" b="40000"/>
        <a:stretch/>
      </xdr:blipFill>
      <xdr:spPr bwMode="auto">
        <a:xfrm>
          <a:off x="1228725" y="6657975"/>
          <a:ext cx="1083466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13</xdr:row>
      <xdr:rowOff>5292</xdr:rowOff>
    </xdr:from>
    <xdr:to>
      <xdr:col>3</xdr:col>
      <xdr:colOff>4723</xdr:colOff>
      <xdr:row>13</xdr:row>
      <xdr:rowOff>371475</xdr:rowOff>
    </xdr:to>
    <xdr:pic>
      <xdr:nvPicPr>
        <xdr:cNvPr id="12" name="Picture 11" descr="Image result for telkomsel"/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" y="7072842"/>
          <a:ext cx="1081048" cy="3661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33</xdr:col>
      <xdr:colOff>193431</xdr:colOff>
      <xdr:row>0</xdr:row>
      <xdr:rowOff>102577</xdr:rowOff>
    </xdr:from>
    <xdr:to>
      <xdr:col>35</xdr:col>
      <xdr:colOff>515142</xdr:colOff>
      <xdr:row>2</xdr:row>
      <xdr:rowOff>82480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27273006" y="102577"/>
          <a:ext cx="1540911" cy="38947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117231</xdr:colOff>
      <xdr:row>0</xdr:row>
      <xdr:rowOff>102577</xdr:rowOff>
    </xdr:from>
    <xdr:to>
      <xdr:col>29</xdr:col>
      <xdr:colOff>438942</xdr:colOff>
      <xdr:row>2</xdr:row>
      <xdr:rowOff>92005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26196681" y="102577"/>
          <a:ext cx="1540911" cy="38947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117231</xdr:colOff>
      <xdr:row>0</xdr:row>
      <xdr:rowOff>102577</xdr:rowOff>
    </xdr:from>
    <xdr:to>
      <xdr:col>17</xdr:col>
      <xdr:colOff>438943</xdr:colOff>
      <xdr:row>3</xdr:row>
      <xdr:rowOff>58615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11318631" y="102577"/>
          <a:ext cx="1540912" cy="385396"/>
        </a:xfrm>
        <a:prstGeom prst="rect">
          <a:avLst/>
        </a:prstGeom>
      </xdr:spPr>
    </xdr:pic>
    <xdr:clientData/>
  </xdr:twoCellAnchor>
  <xdr:twoCellAnchor editAs="oneCell">
    <xdr:from>
      <xdr:col>1</xdr:col>
      <xdr:colOff>1516675</xdr:colOff>
      <xdr:row>5</xdr:row>
      <xdr:rowOff>7327</xdr:rowOff>
    </xdr:from>
    <xdr:to>
      <xdr:col>1</xdr:col>
      <xdr:colOff>1714501</xdr:colOff>
      <xdr:row>6</xdr:row>
      <xdr:rowOff>5423</xdr:rowOff>
    </xdr:to>
    <xdr:pic>
      <xdr:nvPicPr>
        <xdr:cNvPr id="3" name="Picture 2" descr="https://d30y9cdsu7xlg0.cloudfront.net/png/101389-200.pn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6983" y="827942"/>
          <a:ext cx="197826" cy="195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1516675</xdr:colOff>
      <xdr:row>22</xdr:row>
      <xdr:rowOff>196364</xdr:rowOff>
    </xdr:from>
    <xdr:to>
      <xdr:col>1</xdr:col>
      <xdr:colOff>1714501</xdr:colOff>
      <xdr:row>23</xdr:row>
      <xdr:rowOff>194460</xdr:rowOff>
    </xdr:to>
    <xdr:pic>
      <xdr:nvPicPr>
        <xdr:cNvPr id="4" name="Picture 3" descr="https://d30y9cdsu7xlg0.cloudfront.net/png/101389-200.pn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6983" y="4211518"/>
          <a:ext cx="197826" cy="195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117231</xdr:colOff>
      <xdr:row>0</xdr:row>
      <xdr:rowOff>102577</xdr:rowOff>
    </xdr:from>
    <xdr:to>
      <xdr:col>12</xdr:col>
      <xdr:colOff>438943</xdr:colOff>
      <xdr:row>2</xdr:row>
      <xdr:rowOff>87923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10423281" y="102577"/>
          <a:ext cx="1540913" cy="3853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creativity/SpaceDirectory/Sites/UTS%20Core%20team/GSSHUDDLE/Lists/Amily%20Project/AllItems.aspx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6.xml"/><Relationship Id="rId3" Type="http://schemas.openxmlformats.org/officeDocument/2006/relationships/hyperlink" Target="mailto:Jonathanb@miac.com" TargetMode="External"/><Relationship Id="rId7" Type="http://schemas.openxmlformats.org/officeDocument/2006/relationships/printerSettings" Target="../printerSettings/printerSettings6.bin"/><Relationship Id="rId2" Type="http://schemas.openxmlformats.org/officeDocument/2006/relationships/hyperlink" Target="mailto:OMERMI@il.ibm.com" TargetMode="External"/><Relationship Id="rId1" Type="http://schemas.openxmlformats.org/officeDocument/2006/relationships/hyperlink" Target="mailto:ITZHAKVULEJ@IBM.COM" TargetMode="External"/><Relationship Id="rId6" Type="http://schemas.openxmlformats.org/officeDocument/2006/relationships/hyperlink" Target="mailto:fyuval@gmail.com" TargetMode="External"/><Relationship Id="rId5" Type="http://schemas.openxmlformats.org/officeDocument/2006/relationships/hyperlink" Target="mailto:DinaG@miac.com" TargetMode="External"/><Relationship Id="rId4" Type="http://schemas.openxmlformats.org/officeDocument/2006/relationships/hyperlink" Target="mailto:Hagay.Goldman@sa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9" tint="0.79998168889431442"/>
  </sheetPr>
  <dimension ref="A1:G125"/>
  <sheetViews>
    <sheetView zoomScaleNormal="100" workbookViewId="0">
      <selection activeCell="A15" sqref="A15"/>
    </sheetView>
  </sheetViews>
  <sheetFormatPr defaultColWidth="9.140625" defaultRowHeight="15.75" zeroHeight="1" x14ac:dyDescent="0.25"/>
  <cols>
    <col min="1" max="1" width="9.140625" style="1" customWidth="1"/>
    <col min="2" max="2" width="0.42578125" style="1" customWidth="1"/>
    <col min="3" max="3" width="77.28515625" style="1" bestFit="1" customWidth="1"/>
    <col min="4" max="4" width="0.42578125" style="1" customWidth="1"/>
    <col min="5" max="5" width="17.42578125" style="1" bestFit="1" customWidth="1"/>
    <col min="6" max="6" width="0.42578125" style="1" customWidth="1"/>
    <col min="7" max="7" width="117.42578125" style="1" bestFit="1" customWidth="1"/>
    <col min="8" max="16" width="9.140625" style="1" customWidth="1"/>
    <col min="17" max="16384" width="9.140625" style="1"/>
  </cols>
  <sheetData>
    <row r="1" spans="1:7" x14ac:dyDescent="0.25"/>
    <row r="2" spans="1:7" x14ac:dyDescent="0.25">
      <c r="B2" s="2"/>
      <c r="C2" s="57"/>
      <c r="E2" s="3"/>
      <c r="G2" s="178"/>
    </row>
    <row r="3" spans="1:7" x14ac:dyDescent="0.25">
      <c r="A3" s="395" t="s">
        <v>420</v>
      </c>
      <c r="C3" s="416" t="s">
        <v>272</v>
      </c>
      <c r="D3" s="416"/>
      <c r="E3" s="416"/>
      <c r="F3" s="416"/>
      <c r="G3" s="416"/>
    </row>
    <row r="4" spans="1:7" x14ac:dyDescent="0.25">
      <c r="C4" s="164" t="s">
        <v>49</v>
      </c>
      <c r="E4" s="173" t="s">
        <v>260</v>
      </c>
      <c r="F4" s="57"/>
      <c r="G4" s="173" t="s">
        <v>2</v>
      </c>
    </row>
    <row r="5" spans="1:7" ht="30" x14ac:dyDescent="0.25">
      <c r="C5" s="1" t="s">
        <v>39</v>
      </c>
      <c r="E5" s="177" t="s">
        <v>259</v>
      </c>
      <c r="F5" s="57"/>
      <c r="G5" s="392" t="s">
        <v>421</v>
      </c>
    </row>
    <row r="6" spans="1:7" x14ac:dyDescent="0.25">
      <c r="C6" s="1" t="s">
        <v>42</v>
      </c>
      <c r="E6" s="177" t="s">
        <v>259</v>
      </c>
      <c r="F6" s="57"/>
      <c r="G6" s="393" t="s">
        <v>422</v>
      </c>
    </row>
    <row r="7" spans="1:7" ht="30" x14ac:dyDescent="0.25">
      <c r="C7" s="175" t="s">
        <v>274</v>
      </c>
      <c r="E7" s="176" t="s">
        <v>262</v>
      </c>
      <c r="F7" s="57"/>
      <c r="G7" s="398" t="s">
        <v>425</v>
      </c>
    </row>
    <row r="8" spans="1:7" x14ac:dyDescent="0.25">
      <c r="C8" s="1" t="s">
        <v>134</v>
      </c>
      <c r="E8" s="177" t="s">
        <v>259</v>
      </c>
      <c r="F8" s="57"/>
      <c r="G8" s="393" t="s">
        <v>422</v>
      </c>
    </row>
    <row r="9" spans="1:7" ht="30" x14ac:dyDescent="0.25">
      <c r="C9" s="1" t="s">
        <v>243</v>
      </c>
      <c r="E9" s="177" t="s">
        <v>259</v>
      </c>
      <c r="F9" s="57"/>
      <c r="G9" s="396" t="s">
        <v>423</v>
      </c>
    </row>
    <row r="10" spans="1:7" ht="30" x14ac:dyDescent="0.25">
      <c r="C10" s="175" t="s">
        <v>270</v>
      </c>
      <c r="E10" s="176" t="s">
        <v>262</v>
      </c>
      <c r="F10" s="57"/>
      <c r="G10" s="399" t="s">
        <v>426</v>
      </c>
    </row>
    <row r="11" spans="1:7" ht="30" x14ac:dyDescent="0.25">
      <c r="C11" s="175" t="s">
        <v>273</v>
      </c>
      <c r="E11" s="176" t="s">
        <v>262</v>
      </c>
      <c r="F11" s="57"/>
      <c r="G11" s="397" t="s">
        <v>424</v>
      </c>
    </row>
    <row r="12" spans="1:7" ht="45" x14ac:dyDescent="0.25">
      <c r="A12" s="400" t="s">
        <v>428</v>
      </c>
      <c r="C12" s="175" t="s">
        <v>261</v>
      </c>
      <c r="E12" s="176" t="s">
        <v>262</v>
      </c>
      <c r="F12" s="57"/>
      <c r="G12" s="399" t="s">
        <v>427</v>
      </c>
    </row>
    <row r="13" spans="1:7" x14ac:dyDescent="0.25">
      <c r="C13" s="175" t="s">
        <v>418</v>
      </c>
      <c r="E13" s="176" t="s">
        <v>262</v>
      </c>
      <c r="F13" s="57"/>
      <c r="G13" s="393" t="s">
        <v>422</v>
      </c>
    </row>
    <row r="14" spans="1:7" ht="36.6" customHeight="1" x14ac:dyDescent="0.25">
      <c r="A14" s="400" t="s">
        <v>429</v>
      </c>
      <c r="C14" s="1" t="s">
        <v>56</v>
      </c>
      <c r="E14" s="176" t="s">
        <v>262</v>
      </c>
      <c r="G14" s="394" t="s">
        <v>419</v>
      </c>
    </row>
    <row r="15" spans="1:7" x14ac:dyDescent="0.25">
      <c r="E15" s="3"/>
    </row>
    <row r="16" spans="1:7" x14ac:dyDescent="0.25">
      <c r="C16" s="2" t="s">
        <v>346</v>
      </c>
      <c r="D16" s="2"/>
      <c r="E16" s="4" t="s">
        <v>1</v>
      </c>
      <c r="F16" s="2"/>
      <c r="G16" s="4" t="s">
        <v>0</v>
      </c>
    </row>
    <row r="17" spans="3:7" x14ac:dyDescent="0.25">
      <c r="C17" s="57" t="s">
        <v>340</v>
      </c>
      <c r="D17" s="57"/>
      <c r="E17" s="8" t="s">
        <v>286</v>
      </c>
      <c r="F17" s="57"/>
      <c r="G17" s="282" t="s">
        <v>341</v>
      </c>
    </row>
    <row r="18" spans="3:7" x14ac:dyDescent="0.25">
      <c r="C18" s="201" t="s">
        <v>281</v>
      </c>
      <c r="D18" s="202"/>
      <c r="E18" s="203" t="s">
        <v>259</v>
      </c>
      <c r="F18" s="202"/>
      <c r="G18" s="204" t="s">
        <v>285</v>
      </c>
    </row>
    <row r="19" spans="3:7" x14ac:dyDescent="0.25">
      <c r="C19" s="174" t="s">
        <v>271</v>
      </c>
      <c r="D19" s="167"/>
      <c r="E19" s="181" t="s">
        <v>259</v>
      </c>
      <c r="F19" s="167"/>
      <c r="G19" s="179" t="s">
        <v>280</v>
      </c>
    </row>
    <row r="20" spans="3:7" x14ac:dyDescent="0.25">
      <c r="C20" s="205" t="s">
        <v>298</v>
      </c>
      <c r="E20" s="3" t="s">
        <v>286</v>
      </c>
    </row>
    <row r="21" spans="3:7" x14ac:dyDescent="0.25">
      <c r="C21" s="1" t="s">
        <v>345</v>
      </c>
      <c r="E21" s="3"/>
    </row>
    <row r="22" spans="3:7" x14ac:dyDescent="0.25">
      <c r="E22" s="3"/>
    </row>
    <row r="23" spans="3:7" x14ac:dyDescent="0.25">
      <c r="E23" s="3"/>
    </row>
    <row r="24" spans="3:7" x14ac:dyDescent="0.25">
      <c r="E24" s="3"/>
    </row>
    <row r="25" spans="3:7" x14ac:dyDescent="0.25">
      <c r="E25" s="8"/>
    </row>
    <row r="26" spans="3:7" x14ac:dyDescent="0.25">
      <c r="E26" s="8"/>
    </row>
    <row r="27" spans="3:7" x14ac:dyDescent="0.25">
      <c r="E27" s="8"/>
    </row>
    <row r="28" spans="3:7" x14ac:dyDescent="0.25">
      <c r="E28" s="8"/>
    </row>
    <row r="29" spans="3:7" x14ac:dyDescent="0.25">
      <c r="E29" s="8"/>
    </row>
    <row r="30" spans="3:7" x14ac:dyDescent="0.25">
      <c r="E30" s="8"/>
    </row>
    <row r="31" spans="3:7" x14ac:dyDescent="0.25">
      <c r="E31" s="8"/>
    </row>
    <row r="32" spans="3:7" x14ac:dyDescent="0.25">
      <c r="E32" s="8"/>
    </row>
    <row r="33" spans="5:5" x14ac:dyDescent="0.25">
      <c r="E33" s="8"/>
    </row>
    <row r="34" spans="5:5" x14ac:dyDescent="0.25">
      <c r="E34" s="8"/>
    </row>
    <row r="35" spans="5:5" x14ac:dyDescent="0.25">
      <c r="E35" s="8"/>
    </row>
    <row r="36" spans="5:5" x14ac:dyDescent="0.25">
      <c r="E36" s="8"/>
    </row>
    <row r="37" spans="5:5" x14ac:dyDescent="0.25">
      <c r="E37" s="8"/>
    </row>
    <row r="38" spans="5:5" x14ac:dyDescent="0.25">
      <c r="E38" s="8"/>
    </row>
    <row r="39" spans="5:5" x14ac:dyDescent="0.25">
      <c r="E39" s="8"/>
    </row>
    <row r="40" spans="5:5" x14ac:dyDescent="0.25">
      <c r="E40" s="8"/>
    </row>
    <row r="41" spans="5:5" x14ac:dyDescent="0.25">
      <c r="E41" s="8"/>
    </row>
    <row r="42" spans="5:5" x14ac:dyDescent="0.25">
      <c r="E42" s="8"/>
    </row>
    <row r="43" spans="5:5" x14ac:dyDescent="0.25">
      <c r="E43" s="8"/>
    </row>
    <row r="44" spans="5:5" x14ac:dyDescent="0.25">
      <c r="E44" s="8"/>
    </row>
    <row r="45" spans="5:5" x14ac:dyDescent="0.25">
      <c r="E45" s="8"/>
    </row>
    <row r="46" spans="5:5" x14ac:dyDescent="0.25">
      <c r="E46" s="8"/>
    </row>
    <row r="47" spans="5:5" x14ac:dyDescent="0.25">
      <c r="E47" s="8"/>
    </row>
    <row r="48" spans="5:5" x14ac:dyDescent="0.25">
      <c r="E48" s="8"/>
    </row>
    <row r="49" spans="5:5" x14ac:dyDescent="0.25">
      <c r="E49" s="8"/>
    </row>
    <row r="50" spans="5:5" x14ac:dyDescent="0.25">
      <c r="E50" s="8"/>
    </row>
    <row r="51" spans="5:5" x14ac:dyDescent="0.25">
      <c r="E51" s="8"/>
    </row>
    <row r="52" spans="5:5" x14ac:dyDescent="0.25">
      <c r="E52" s="8"/>
    </row>
    <row r="53" spans="5:5" x14ac:dyDescent="0.25">
      <c r="E53" s="8"/>
    </row>
    <row r="54" spans="5:5" x14ac:dyDescent="0.25">
      <c r="E54" s="8"/>
    </row>
    <row r="55" spans="5:5" x14ac:dyDescent="0.25">
      <c r="E55" s="8"/>
    </row>
    <row r="56" spans="5:5" x14ac:dyDescent="0.25">
      <c r="E56" s="8"/>
    </row>
    <row r="57" spans="5:5" x14ac:dyDescent="0.25">
      <c r="E57" s="8"/>
    </row>
    <row r="58" spans="5:5" x14ac:dyDescent="0.25">
      <c r="E58" s="8"/>
    </row>
    <row r="59" spans="5:5" x14ac:dyDescent="0.25">
      <c r="E59" s="8"/>
    </row>
    <row r="60" spans="5:5" x14ac:dyDescent="0.25">
      <c r="E60" s="8"/>
    </row>
    <row r="61" spans="5:5" x14ac:dyDescent="0.25">
      <c r="E61" s="8"/>
    </row>
    <row r="62" spans="5:5" x14ac:dyDescent="0.25">
      <c r="E62" s="8"/>
    </row>
    <row r="63" spans="5:5" x14ac:dyDescent="0.25">
      <c r="E63" s="8"/>
    </row>
    <row r="64" spans="5:5" x14ac:dyDescent="0.25">
      <c r="E64" s="8"/>
    </row>
    <row r="65" spans="5:5" x14ac:dyDescent="0.25">
      <c r="E65" s="8"/>
    </row>
    <row r="66" spans="5:5" x14ac:dyDescent="0.25">
      <c r="E66" s="8"/>
    </row>
    <row r="67" spans="5:5" x14ac:dyDescent="0.25">
      <c r="E67" s="8"/>
    </row>
    <row r="68" spans="5:5" x14ac:dyDescent="0.25">
      <c r="E68" s="8"/>
    </row>
    <row r="69" spans="5:5" x14ac:dyDescent="0.25">
      <c r="E69" s="8"/>
    </row>
    <row r="70" spans="5:5" x14ac:dyDescent="0.25">
      <c r="E70" s="8"/>
    </row>
    <row r="71" spans="5:5" x14ac:dyDescent="0.25">
      <c r="E71" s="8"/>
    </row>
    <row r="72" spans="5:5" x14ac:dyDescent="0.25">
      <c r="E72" s="8"/>
    </row>
    <row r="73" spans="5:5" x14ac:dyDescent="0.25">
      <c r="E73" s="8"/>
    </row>
    <row r="74" spans="5:5" x14ac:dyDescent="0.25">
      <c r="E74" s="8"/>
    </row>
    <row r="75" spans="5:5" x14ac:dyDescent="0.25">
      <c r="E75" s="8"/>
    </row>
    <row r="76" spans="5:5" x14ac:dyDescent="0.25">
      <c r="E76" s="8"/>
    </row>
    <row r="77" spans="5:5" x14ac:dyDescent="0.25">
      <c r="E77" s="8"/>
    </row>
    <row r="78" spans="5:5" x14ac:dyDescent="0.25">
      <c r="E78" s="8"/>
    </row>
    <row r="79" spans="5:5" x14ac:dyDescent="0.25">
      <c r="E79" s="8"/>
    </row>
    <row r="80" spans="5:5" x14ac:dyDescent="0.25">
      <c r="E80" s="8"/>
    </row>
    <row r="81" spans="5:5" x14ac:dyDescent="0.25">
      <c r="E81" s="8"/>
    </row>
    <row r="82" spans="5:5" x14ac:dyDescent="0.25">
      <c r="E82" s="8"/>
    </row>
    <row r="83" spans="5:5" x14ac:dyDescent="0.25">
      <c r="E83" s="8"/>
    </row>
    <row r="84" spans="5:5" x14ac:dyDescent="0.25">
      <c r="E84" s="8"/>
    </row>
    <row r="85" spans="5:5" x14ac:dyDescent="0.25">
      <c r="E85" s="8"/>
    </row>
    <row r="86" spans="5:5" x14ac:dyDescent="0.25">
      <c r="E86" s="8"/>
    </row>
    <row r="87" spans="5:5" x14ac:dyDescent="0.25">
      <c r="E87" s="8"/>
    </row>
    <row r="88" spans="5:5" x14ac:dyDescent="0.25">
      <c r="E88" s="8"/>
    </row>
    <row r="89" spans="5:5" x14ac:dyDescent="0.25">
      <c r="E89" s="8"/>
    </row>
    <row r="90" spans="5:5" x14ac:dyDescent="0.25">
      <c r="E90" s="8"/>
    </row>
    <row r="91" spans="5:5" x14ac:dyDescent="0.25">
      <c r="E91" s="8"/>
    </row>
    <row r="92" spans="5:5" x14ac:dyDescent="0.25">
      <c r="E92" s="8"/>
    </row>
    <row r="93" spans="5:5" x14ac:dyDescent="0.25">
      <c r="E93" s="8"/>
    </row>
    <row r="94" spans="5:5" x14ac:dyDescent="0.25">
      <c r="E94" s="8"/>
    </row>
    <row r="95" spans="5:5" x14ac:dyDescent="0.25">
      <c r="E95" s="8"/>
    </row>
    <row r="96" spans="5:5" x14ac:dyDescent="0.25">
      <c r="E96" s="8"/>
    </row>
    <row r="97" spans="5:5" x14ac:dyDescent="0.25">
      <c r="E97" s="8"/>
    </row>
    <row r="98" spans="5:5" x14ac:dyDescent="0.25">
      <c r="E98" s="8"/>
    </row>
    <row r="99" spans="5:5" x14ac:dyDescent="0.25">
      <c r="E99" s="8"/>
    </row>
    <row r="100" spans="5:5" x14ac:dyDescent="0.25">
      <c r="E100" s="8"/>
    </row>
    <row r="101" spans="5:5" x14ac:dyDescent="0.25">
      <c r="E101" s="8"/>
    </row>
    <row r="102" spans="5:5" x14ac:dyDescent="0.25">
      <c r="E102" s="8"/>
    </row>
    <row r="103" spans="5:5" x14ac:dyDescent="0.25">
      <c r="E103" s="8"/>
    </row>
    <row r="104" spans="5:5" x14ac:dyDescent="0.25">
      <c r="E104" s="8"/>
    </row>
    <row r="105" spans="5:5" x14ac:dyDescent="0.25"/>
    <row r="106" spans="5:5" x14ac:dyDescent="0.25"/>
    <row r="107" spans="5:5" x14ac:dyDescent="0.25"/>
    <row r="108" spans="5:5" x14ac:dyDescent="0.25"/>
    <row r="109" spans="5:5" x14ac:dyDescent="0.25"/>
    <row r="110" spans="5:5" x14ac:dyDescent="0.25"/>
    <row r="111" spans="5:5" x14ac:dyDescent="0.25"/>
    <row r="112" spans="5:5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</sheetData>
  <mergeCells count="1">
    <mergeCell ref="C3:G3"/>
  </mergeCells>
  <conditionalFormatting sqref="D2:G2 D4:D11 A1:M1 C2:C11 A2:B15 H2:M16 C15:G16 F18:G19 C18:D19 H18:P109 C20:G104 A18:B108 C14:D14 F14:G14 G5:G10">
    <cfRule type="containsBlanks" dxfId="617" priority="98">
      <formula>LEN(TRIM(A1))=0</formula>
    </cfRule>
  </conditionalFormatting>
  <conditionalFormatting sqref="F4">
    <cfRule type="containsBlanks" dxfId="616" priority="27">
      <formula>LEN(TRIM(F4))=0</formula>
    </cfRule>
  </conditionalFormatting>
  <conditionalFormatting sqref="G11">
    <cfRule type="containsBlanks" dxfId="615" priority="35">
      <formula>LEN(TRIM(G11))=0</formula>
    </cfRule>
  </conditionalFormatting>
  <conditionalFormatting sqref="F5">
    <cfRule type="containsBlanks" dxfId="614" priority="26">
      <formula>LEN(TRIM(F5))=0</formula>
    </cfRule>
  </conditionalFormatting>
  <conditionalFormatting sqref="A16:B16">
    <cfRule type="containsBlanks" dxfId="613" priority="32">
      <formula>LEN(TRIM(A16))=0</formula>
    </cfRule>
  </conditionalFormatting>
  <conditionalFormatting sqref="E4 G4">
    <cfRule type="containsBlanks" dxfId="612" priority="28">
      <formula>LEN(TRIM(E4))=0</formula>
    </cfRule>
  </conditionalFormatting>
  <conditionalFormatting sqref="F11">
    <cfRule type="containsBlanks" dxfId="611" priority="20">
      <formula>LEN(TRIM(F11))=0</formula>
    </cfRule>
  </conditionalFormatting>
  <conditionalFormatting sqref="F6">
    <cfRule type="containsBlanks" dxfId="610" priority="25">
      <formula>LEN(TRIM(F6))=0</formula>
    </cfRule>
  </conditionalFormatting>
  <conditionalFormatting sqref="F7">
    <cfRule type="containsBlanks" dxfId="609" priority="24">
      <formula>LEN(TRIM(F7))=0</formula>
    </cfRule>
  </conditionalFormatting>
  <conditionalFormatting sqref="F8">
    <cfRule type="containsBlanks" dxfId="608" priority="23">
      <formula>LEN(TRIM(F8))=0</formula>
    </cfRule>
  </conditionalFormatting>
  <conditionalFormatting sqref="F9">
    <cfRule type="containsBlanks" dxfId="607" priority="22">
      <formula>LEN(TRIM(F9))=0</formula>
    </cfRule>
  </conditionalFormatting>
  <conditionalFormatting sqref="F10">
    <cfRule type="containsBlanks" dxfId="606" priority="21">
      <formula>LEN(TRIM(F10))=0</formula>
    </cfRule>
  </conditionalFormatting>
  <conditionalFormatting sqref="N1:P16">
    <cfRule type="containsBlanks" dxfId="605" priority="10">
      <formula>LEN(TRIM(N1))=0</formula>
    </cfRule>
  </conditionalFormatting>
  <conditionalFormatting sqref="C12:D13">
    <cfRule type="containsBlanks" dxfId="604" priority="8">
      <formula>LEN(TRIM(C12))=0</formula>
    </cfRule>
  </conditionalFormatting>
  <conditionalFormatting sqref="G12">
    <cfRule type="containsBlanks" dxfId="603" priority="7">
      <formula>LEN(TRIM(G12))=0</formula>
    </cfRule>
  </conditionalFormatting>
  <conditionalFormatting sqref="F12:F13">
    <cfRule type="containsBlanks" dxfId="602" priority="6">
      <formula>LEN(TRIM(F12))=0</formula>
    </cfRule>
  </conditionalFormatting>
  <conditionalFormatting sqref="F17:G17 A17:D17">
    <cfRule type="containsBlanks" dxfId="601" priority="5">
      <formula>LEN(TRIM(A17))=0</formula>
    </cfRule>
  </conditionalFormatting>
  <conditionalFormatting sqref="H17:M17">
    <cfRule type="containsBlanks" dxfId="600" priority="4">
      <formula>LEN(TRIM(H17))=0</formula>
    </cfRule>
  </conditionalFormatting>
  <conditionalFormatting sqref="N17:P17">
    <cfRule type="containsBlanks" dxfId="599" priority="3">
      <formula>LEN(TRIM(N17))=0</formula>
    </cfRule>
  </conditionalFormatting>
  <conditionalFormatting sqref="E17">
    <cfRule type="containsBlanks" dxfId="598" priority="2">
      <formula>LEN(TRIM(E17))=0</formula>
    </cfRule>
  </conditionalFormatting>
  <conditionalFormatting sqref="G13">
    <cfRule type="containsBlanks" dxfId="597" priority="1">
      <formula>LEN(TRIM(G13))=0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AG337"/>
  <sheetViews>
    <sheetView topLeftCell="B7" zoomScaleNormal="100" workbookViewId="0">
      <selection activeCell="B1" sqref="B1"/>
    </sheetView>
  </sheetViews>
  <sheetFormatPr defaultColWidth="0" defaultRowHeight="15.75" x14ac:dyDescent="0.25"/>
  <cols>
    <col min="1" max="2" width="9.140625" customWidth="1"/>
    <col min="3" max="3" width="16.42578125" bestFit="1" customWidth="1"/>
    <col min="4" max="9" width="16.42578125" customWidth="1"/>
    <col min="10" max="10" width="1.7109375" customWidth="1"/>
    <col min="11" max="15" width="16.42578125" customWidth="1"/>
    <col min="16" max="18" width="9.140625" customWidth="1"/>
    <col min="19" max="19" width="11.85546875" bestFit="1" customWidth="1"/>
    <col min="20" max="24" width="9.140625" customWidth="1"/>
    <col min="25" max="29" width="9.140625" style="1" customWidth="1"/>
    <col min="30" max="30" width="9.140625" customWidth="1"/>
    <col min="31" max="31" width="9.140625" hidden="1" customWidth="1"/>
    <col min="32" max="32" width="13.7109375" style="273" hidden="1" customWidth="1"/>
    <col min="33" max="33" width="0" style="273" hidden="1" customWidth="1"/>
    <col min="34" max="16384" width="9.140625" hidden="1"/>
  </cols>
  <sheetData>
    <row r="1" spans="2:33" s="1" customFormat="1" ht="16.5" thickBot="1" x14ac:dyDescent="0.3">
      <c r="AF1" s="232"/>
      <c r="AG1" s="232"/>
    </row>
    <row r="2" spans="2:33" s="1" customFormat="1" ht="21.75" thickBot="1" x14ac:dyDescent="0.4">
      <c r="D2" s="249">
        <f>SUM(D5:D50)</f>
        <v>38</v>
      </c>
      <c r="E2" s="250">
        <f t="shared" ref="E2:O2" si="0">SUM(E5:E50)</f>
        <v>1</v>
      </c>
      <c r="F2" s="250">
        <f t="shared" si="0"/>
        <v>2</v>
      </c>
      <c r="G2" s="271">
        <f t="shared" si="0"/>
        <v>14</v>
      </c>
      <c r="H2" s="251">
        <f t="shared" si="0"/>
        <v>6</v>
      </c>
      <c r="I2" s="252">
        <f t="shared" si="0"/>
        <v>6</v>
      </c>
      <c r="J2" s="255"/>
      <c r="K2" s="253">
        <f t="shared" si="0"/>
        <v>8</v>
      </c>
      <c r="L2" s="250">
        <f t="shared" si="0"/>
        <v>0</v>
      </c>
      <c r="M2" s="271">
        <f t="shared" si="0"/>
        <v>0</v>
      </c>
      <c r="N2" s="251">
        <f t="shared" si="0"/>
        <v>0</v>
      </c>
      <c r="O2" s="254">
        <f t="shared" si="0"/>
        <v>6</v>
      </c>
      <c r="AF2" s="232"/>
      <c r="AG2" s="232"/>
    </row>
    <row r="3" spans="2:33" s="1" customFormat="1" ht="23.25" x14ac:dyDescent="0.35">
      <c r="D3" s="417" t="s">
        <v>300</v>
      </c>
      <c r="E3" s="417"/>
      <c r="F3" s="417"/>
      <c r="G3" s="417"/>
      <c r="H3" s="417"/>
      <c r="I3" s="417"/>
      <c r="J3" s="235"/>
      <c r="K3" s="417" t="s">
        <v>301</v>
      </c>
      <c r="L3" s="417"/>
      <c r="M3" s="417"/>
      <c r="N3" s="417"/>
      <c r="O3" s="417"/>
      <c r="AF3" s="163" t="s">
        <v>328</v>
      </c>
      <c r="AG3" s="163" t="s">
        <v>329</v>
      </c>
    </row>
    <row r="4" spans="2:33" s="1" customFormat="1" ht="50.1" customHeight="1" x14ac:dyDescent="0.25">
      <c r="C4" s="234" t="s">
        <v>299</v>
      </c>
      <c r="D4" s="231" t="s">
        <v>293</v>
      </c>
      <c r="E4" s="231" t="s">
        <v>294</v>
      </c>
      <c r="F4" s="231" t="s">
        <v>398</v>
      </c>
      <c r="G4" s="231" t="s">
        <v>295</v>
      </c>
      <c r="H4" s="231" t="s">
        <v>296</v>
      </c>
      <c r="I4" s="231" t="s">
        <v>297</v>
      </c>
      <c r="J4" s="235"/>
      <c r="K4" s="231" t="s">
        <v>293</v>
      </c>
      <c r="L4" s="231" t="s">
        <v>294</v>
      </c>
      <c r="M4" s="231" t="s">
        <v>295</v>
      </c>
      <c r="N4" s="231" t="s">
        <v>296</v>
      </c>
      <c r="O4" s="231" t="s">
        <v>297</v>
      </c>
      <c r="AF4" s="272">
        <v>42948</v>
      </c>
      <c r="AG4" s="232">
        <f>COUNTIF(Workflows!$U$4:$U$4024,"&lt;="&amp;AF4)</f>
        <v>0</v>
      </c>
    </row>
    <row r="5" spans="2:33" s="1" customFormat="1" ht="50.1" customHeight="1" x14ac:dyDescent="0.25">
      <c r="C5" s="230" t="s">
        <v>39</v>
      </c>
      <c r="D5" s="225">
        <f>COUNTIFS(Workflows!$B$4:$B$519,$C5,Workflows!$D$4:$D$519,D$4)</f>
        <v>7</v>
      </c>
      <c r="E5" s="226">
        <f>COUNTIFS(Workflows!$B$4:$B$519,$C5,Workflows!$D$4:$D$519,E$4)</f>
        <v>0</v>
      </c>
      <c r="F5" s="226">
        <f>COUNTIFS(Workflows!$B$4:$B$519,$C5,Workflows!$D$4:$D$519,F$4)</f>
        <v>0</v>
      </c>
      <c r="G5" s="227">
        <f>COUNTIFS(Workflows!$B$4:$B$519,$C5,Workflows!$D$4:$D$519,G$4)</f>
        <v>1</v>
      </c>
      <c r="H5" s="228">
        <f>COUNTIFS(Workflows!$B$4:$B$519,$C5,Workflows!$D$4:$D$519,H$4)</f>
        <v>1</v>
      </c>
      <c r="I5" s="229">
        <f>COUNTIFS(Workflows!$B$4:$B$519,$C5,Workflows!$D$4:$D$519,I$4)</f>
        <v>0</v>
      </c>
      <c r="J5" s="236"/>
      <c r="K5" s="225">
        <f>COUNTIFS('Dispatch flows'!$B$4:$B$74,$C5,'Dispatch flows'!$D$4:$D$74,K$4)</f>
        <v>3</v>
      </c>
      <c r="L5" s="226">
        <f>COUNTIFS('Dispatch flows'!$B$4:$B$74,$C5,'Dispatch flows'!$D$4:$D$74,L$4)</f>
        <v>0</v>
      </c>
      <c r="M5" s="227">
        <f>COUNTIFS('Dispatch flows'!$B$4:$B$74,$C5,'Dispatch flows'!$D$4:$D$74,M$4)</f>
        <v>0</v>
      </c>
      <c r="N5" s="228">
        <f>COUNTIFS('Dispatch flows'!$B$4:$B$74,$C5,'Dispatch flows'!$D$4:$D$74,N$4)</f>
        <v>0</v>
      </c>
      <c r="O5" s="229">
        <f>COUNTIFS('Dispatch flows'!$B$4:$B$74,$C5,'Dispatch flows'!$D$4:$D$74,O$4)</f>
        <v>3</v>
      </c>
      <c r="AF5" s="272">
        <v>42949</v>
      </c>
      <c r="AG5" s="232">
        <f>COUNTIF(Workflows!$U$4:$U$4024,"&lt;="&amp;AF5)</f>
        <v>0</v>
      </c>
    </row>
    <row r="6" spans="2:33" s="1" customFormat="1" ht="50.1" customHeight="1" x14ac:dyDescent="0.25">
      <c r="C6" s="230" t="s">
        <v>42</v>
      </c>
      <c r="D6" s="225">
        <f>COUNTIFS(Workflows!$B$4:$B$519,$C6,Workflows!$D$4:$D$519,D$4)</f>
        <v>11</v>
      </c>
      <c r="E6" s="226">
        <f>COUNTIFS(Workflows!$B$4:$B$519,$C6,Workflows!$D$4:$D$519,E$4)</f>
        <v>0</v>
      </c>
      <c r="F6" s="226">
        <f>COUNTIFS(Workflows!$B$4:$B$519,$C6,Workflows!$D$4:$D$519,F$4)</f>
        <v>0</v>
      </c>
      <c r="G6" s="227">
        <f>COUNTIFS(Workflows!$B$4:$B$519,$C6,Workflows!$D$4:$D$519,G$4)</f>
        <v>0</v>
      </c>
      <c r="H6" s="228">
        <f>COUNTIFS(Workflows!$B$4:$B$519,$C6,Workflows!$D$4:$D$519,H$4)</f>
        <v>0</v>
      </c>
      <c r="I6" s="229">
        <f>COUNTIFS(Workflows!$B$4:$B$519,$C6,Workflows!$D$4:$D$519,I$4)</f>
        <v>0</v>
      </c>
      <c r="J6" s="236"/>
      <c r="K6" s="225">
        <f>COUNTIFS('Dispatch flows'!$B$4:$B$74,$C6,'Dispatch flows'!$D$4:$D$74,K$4)</f>
        <v>3</v>
      </c>
      <c r="L6" s="226">
        <f>COUNTIFS('Dispatch flows'!$B$4:$B$74,$C6,'Dispatch flows'!$D$4:$D$74,L$4)</f>
        <v>0</v>
      </c>
      <c r="M6" s="227">
        <f>COUNTIFS('Dispatch flows'!$B$4:$B$74,$C6,'Dispatch flows'!$D$4:$D$74,M$4)</f>
        <v>0</v>
      </c>
      <c r="N6" s="228">
        <f>COUNTIFS('Dispatch flows'!$B$4:$B$74,$C6,'Dispatch flows'!$D$4:$D$74,N$4)</f>
        <v>0</v>
      </c>
      <c r="O6" s="229">
        <f>COUNTIFS('Dispatch flows'!$B$4:$B$74,$C6,'Dispatch flows'!$D$4:$D$74,O$4)</f>
        <v>0</v>
      </c>
      <c r="AF6" s="272">
        <v>42950</v>
      </c>
      <c r="AG6" s="232">
        <f>COUNTIF(Workflows!$U$4:$U$4024,"&lt;="&amp;AF6)</f>
        <v>0</v>
      </c>
    </row>
    <row r="7" spans="2:33" s="1" customFormat="1" ht="50.1" customHeight="1" x14ac:dyDescent="0.25">
      <c r="C7" s="230" t="s">
        <v>64</v>
      </c>
      <c r="D7" s="225">
        <f>COUNTIFS(Workflows!$B$4:$B$519,$C7,Workflows!$D$4:$D$519,D$4)</f>
        <v>4</v>
      </c>
      <c r="E7" s="226">
        <f>COUNTIFS(Workflows!$B$4:$B$519,$C7,Workflows!$D$4:$D$519,E$4)</f>
        <v>1</v>
      </c>
      <c r="F7" s="226">
        <f>COUNTIFS(Workflows!$B$4:$B$519,$C7,Workflows!$D$4:$D$519,F$4)</f>
        <v>1</v>
      </c>
      <c r="G7" s="227">
        <f>COUNTIFS(Workflows!$B$4:$B$519,$C7,Workflows!$D$4:$D$519,G$4)</f>
        <v>0</v>
      </c>
      <c r="H7" s="228">
        <f>COUNTIFS(Workflows!$B$4:$B$519,$C7,Workflows!$D$4:$D$519,H$4)</f>
        <v>1</v>
      </c>
      <c r="I7" s="229">
        <f>COUNTIFS(Workflows!$B$4:$B$519,$C7,Workflows!$D$4:$D$519,I$4)</f>
        <v>0</v>
      </c>
      <c r="J7" s="236"/>
      <c r="K7" s="225">
        <f>COUNTIFS('Dispatch flows'!$B$4:$B$74,$C7,'Dispatch flows'!$D$4:$D$74,K$4)</f>
        <v>0</v>
      </c>
      <c r="L7" s="226">
        <f>COUNTIFS('Dispatch flows'!$B$4:$B$74,$C7,'Dispatch flows'!$D$4:$D$74,L$4)</f>
        <v>0</v>
      </c>
      <c r="M7" s="227">
        <f>COUNTIFS('Dispatch flows'!$B$4:$B$74,$C7,'Dispatch flows'!$D$4:$D$74,M$4)</f>
        <v>0</v>
      </c>
      <c r="N7" s="228">
        <f>COUNTIFS('Dispatch flows'!$B$4:$B$74,$C7,'Dispatch flows'!$D$4:$D$74,N$4)</f>
        <v>0</v>
      </c>
      <c r="O7" s="229">
        <f>COUNTIFS('Dispatch flows'!$B$4:$B$74,$C7,'Dispatch flows'!$D$4:$D$74,O$4)</f>
        <v>0</v>
      </c>
      <c r="AF7" s="272">
        <v>42951</v>
      </c>
      <c r="AG7" s="232">
        <f>COUNTIF(Workflows!$U$4:$U$4024,"&lt;="&amp;AF7)</f>
        <v>0</v>
      </c>
    </row>
    <row r="8" spans="2:33" s="1" customFormat="1" ht="50.1" customHeight="1" x14ac:dyDescent="0.25">
      <c r="C8" s="230" t="s">
        <v>134</v>
      </c>
      <c r="D8" s="225">
        <f>COUNTIFS(Workflows!$B$4:$B$519,$C8,Workflows!$D$4:$D$519,D$4)</f>
        <v>7</v>
      </c>
      <c r="E8" s="226">
        <f>COUNTIFS(Workflows!$B$4:$B$519,$C8,Workflows!$D$4:$D$519,E$4)</f>
        <v>0</v>
      </c>
      <c r="F8" s="226">
        <f>COUNTIFS(Workflows!$B$4:$B$519,$C8,Workflows!$D$4:$D$519,F$4)</f>
        <v>0</v>
      </c>
      <c r="G8" s="227">
        <f>COUNTIFS(Workflows!$B$4:$B$519,$C8,Workflows!$D$4:$D$519,G$4)</f>
        <v>0</v>
      </c>
      <c r="H8" s="228">
        <f>COUNTIFS(Workflows!$B$4:$B$519,$C8,Workflows!$D$4:$D$519,H$4)</f>
        <v>1</v>
      </c>
      <c r="I8" s="229">
        <f>COUNTIFS(Workflows!$B$4:$B$519,$C8,Workflows!$D$4:$D$519,I$4)</f>
        <v>6</v>
      </c>
      <c r="J8" s="236"/>
      <c r="K8" s="225">
        <f>COUNTIFS('Dispatch flows'!$B$4:$B$74,$C8,'Dispatch flows'!$D$4:$D$74,K$4)</f>
        <v>0</v>
      </c>
      <c r="L8" s="226">
        <f>COUNTIFS('Dispatch flows'!$B$4:$B$74,$C8,'Dispatch flows'!$D$4:$D$74,L$4)</f>
        <v>0</v>
      </c>
      <c r="M8" s="227">
        <f>COUNTIFS('Dispatch flows'!$B$4:$B$74,$C8,'Dispatch flows'!$D$4:$D$74,M$4)</f>
        <v>0</v>
      </c>
      <c r="N8" s="228">
        <f>COUNTIFS('Dispatch flows'!$B$4:$B$74,$C8,'Dispatch flows'!$D$4:$D$74,N$4)</f>
        <v>0</v>
      </c>
      <c r="O8" s="229">
        <f>COUNTIFS('Dispatch flows'!$B$4:$B$74,$C8,'Dispatch flows'!$D$4:$D$74,O$4)</f>
        <v>0</v>
      </c>
      <c r="AF8" s="272">
        <v>42952</v>
      </c>
      <c r="AG8" s="232">
        <f>COUNTIF(Workflows!$U$4:$U$4024,"&lt;="&amp;AF8)</f>
        <v>0</v>
      </c>
    </row>
    <row r="9" spans="2:33" s="1" customFormat="1" ht="50.1" customHeight="1" x14ac:dyDescent="0.25">
      <c r="B9" s="246"/>
      <c r="C9" s="230" t="s">
        <v>243</v>
      </c>
      <c r="D9" s="225">
        <f>COUNTIFS(Workflows!$B$4:$B$519,$C9,Workflows!$D$4:$D$519,D$4)</f>
        <v>4</v>
      </c>
      <c r="E9" s="226">
        <f>COUNTIFS(Workflows!$B$4:$B$519,$C9,Workflows!$D$4:$D$519,E$4)</f>
        <v>0</v>
      </c>
      <c r="F9" s="226">
        <f>COUNTIFS(Workflows!$B$4:$B$519,$C9,Workflows!$D$4:$D$519,F$4)</f>
        <v>0</v>
      </c>
      <c r="G9" s="227">
        <f>COUNTIFS(Workflows!$B$4:$B$519,$C9,Workflows!$D$4:$D$519,G$4)</f>
        <v>2</v>
      </c>
      <c r="H9" s="228">
        <f>COUNTIFS(Workflows!$B$4:$B$519,$C9,Workflows!$D$4:$D$519,H$4)</f>
        <v>2</v>
      </c>
      <c r="I9" s="229">
        <f>COUNTIFS(Workflows!$B$4:$B$519,$C9,Workflows!$D$4:$D$519,I$4)</f>
        <v>0</v>
      </c>
      <c r="J9" s="236"/>
      <c r="K9" s="225">
        <f>COUNTIFS('Dispatch flows'!$B$4:$B$74,$C9,'Dispatch flows'!$D$4:$D$74,K$4)</f>
        <v>2</v>
      </c>
      <c r="L9" s="226">
        <f>COUNTIFS('Dispatch flows'!$B$4:$B$74,$C9,'Dispatch flows'!$D$4:$D$74,L$4)</f>
        <v>0</v>
      </c>
      <c r="M9" s="227">
        <f>COUNTIFS('Dispatch flows'!$B$4:$B$74,$C9,'Dispatch flows'!$D$4:$D$74,M$4)</f>
        <v>0</v>
      </c>
      <c r="N9" s="228">
        <f>COUNTIFS('Dispatch flows'!$B$4:$B$74,$C9,'Dispatch flows'!$D$4:$D$74,N$4)</f>
        <v>0</v>
      </c>
      <c r="O9" s="229">
        <f>COUNTIFS('Dispatch flows'!$B$4:$B$74,$C9,'Dispatch flows'!$D$4:$D$74,O$4)</f>
        <v>3</v>
      </c>
      <c r="AF9" s="272">
        <v>42953</v>
      </c>
      <c r="AG9" s="232">
        <f>COUNTIF(Workflows!$U$4:$U$4024,"&lt;="&amp;AF9)</f>
        <v>8</v>
      </c>
    </row>
    <row r="10" spans="2:33" s="1" customFormat="1" ht="50.1" customHeight="1" x14ac:dyDescent="0.25">
      <c r="C10" s="230" t="s">
        <v>273</v>
      </c>
      <c r="D10" s="225">
        <f>COUNTIFS(Workflows!$B$4:$B$519,$C10,Workflows!$D$4:$D$519,D$4)</f>
        <v>0</v>
      </c>
      <c r="E10" s="226">
        <f>COUNTIFS(Workflows!$B$4:$B$519,$C10,Workflows!$D$4:$D$519,E$4)</f>
        <v>0</v>
      </c>
      <c r="F10" s="226">
        <f>COUNTIFS(Workflows!$B$4:$B$519,$C10,Workflows!$D$4:$D$519,F$4)</f>
        <v>0</v>
      </c>
      <c r="G10" s="227">
        <f>COUNTIFS(Workflows!$B$4:$B$519,$C10,Workflows!$D$4:$D$519,G$4)</f>
        <v>3</v>
      </c>
      <c r="H10" s="228">
        <f>COUNTIFS(Workflows!$B$4:$B$519,$C10,Workflows!$D$4:$D$519,H$4)</f>
        <v>0</v>
      </c>
      <c r="I10" s="229">
        <f>COUNTIFS(Workflows!$B$4:$B$519,$C10,Workflows!$D$4:$D$519,I$4)</f>
        <v>0</v>
      </c>
      <c r="J10" s="236"/>
      <c r="K10" s="225">
        <f>COUNTIFS('Dispatch flows'!$B$4:$B$74,$C10,'Dispatch flows'!$D$4:$D$74,K$4)</f>
        <v>0</v>
      </c>
      <c r="L10" s="226">
        <f>COUNTIFS('Dispatch flows'!$B$4:$B$74,$C10,'Dispatch flows'!$D$4:$D$74,L$4)</f>
        <v>0</v>
      </c>
      <c r="M10" s="227">
        <f>COUNTIFS('Dispatch flows'!$B$4:$B$74,$C10,'Dispatch flows'!$D$4:$D$74,M$4)</f>
        <v>0</v>
      </c>
      <c r="N10" s="228">
        <f>COUNTIFS('Dispatch flows'!$B$4:$B$74,$C10,'Dispatch flows'!$D$4:$D$74,N$4)</f>
        <v>0</v>
      </c>
      <c r="O10" s="229">
        <f>COUNTIFS('Dispatch flows'!$B$4:$B$74,$C10,'Dispatch flows'!$D$4:$D$74,O$4)</f>
        <v>0</v>
      </c>
      <c r="AF10" s="272">
        <v>42954</v>
      </c>
      <c r="AG10" s="232">
        <f>COUNTIF(Workflows!$U$4:$U$4024,"&lt;="&amp;AF10)</f>
        <v>8</v>
      </c>
    </row>
    <row r="11" spans="2:33" s="1" customFormat="1" ht="50.1" customHeight="1" x14ac:dyDescent="0.25">
      <c r="C11" s="230" t="s">
        <v>261</v>
      </c>
      <c r="D11" s="225">
        <f>COUNTIFS(Workflows!$B$4:$B$519,$C11,Workflows!$D$4:$D$519,D$4)</f>
        <v>5</v>
      </c>
      <c r="E11" s="226">
        <f>COUNTIFS(Workflows!$B$4:$B$519,$C11,Workflows!$D$4:$D$519,E$4)</f>
        <v>0</v>
      </c>
      <c r="F11" s="226">
        <f>COUNTIFS(Workflows!$B$4:$B$519,$C11,Workflows!$D$4:$D$519,F$4)</f>
        <v>0</v>
      </c>
      <c r="G11" s="227">
        <f>COUNTIFS(Workflows!$B$4:$B$519,$C11,Workflows!$D$4:$D$519,G$4)</f>
        <v>3</v>
      </c>
      <c r="H11" s="228">
        <f>COUNTIFS(Workflows!$B$4:$B$519,$C11,Workflows!$D$4:$D$519,H$4)</f>
        <v>1</v>
      </c>
      <c r="I11" s="229">
        <f>COUNTIFS(Workflows!$B$4:$B$519,$C11,Workflows!$D$4:$D$519,I$4)</f>
        <v>0</v>
      </c>
      <c r="J11" s="236"/>
      <c r="K11" s="225">
        <f>COUNTIFS('Dispatch flows'!$B$4:$B$74,$C11,'Dispatch flows'!$D$4:$D$74,K$4)</f>
        <v>0</v>
      </c>
      <c r="L11" s="226">
        <f>COUNTIFS('Dispatch flows'!$B$4:$B$74,$C11,'Dispatch flows'!$D$4:$D$74,L$4)</f>
        <v>0</v>
      </c>
      <c r="M11" s="227">
        <f>COUNTIFS('Dispatch flows'!$B$4:$B$74,$C11,'Dispatch flows'!$D$4:$D$74,M$4)</f>
        <v>0</v>
      </c>
      <c r="N11" s="228">
        <f>COUNTIFS('Dispatch flows'!$B$4:$B$74,$C11,'Dispatch flows'!$D$4:$D$74,N$4)</f>
        <v>0</v>
      </c>
      <c r="O11" s="229">
        <f>COUNTIFS('Dispatch flows'!$B$4:$B$74,$C11,'Dispatch flows'!$D$4:$D$74,O$4)</f>
        <v>0</v>
      </c>
      <c r="AF11" s="272">
        <v>42955</v>
      </c>
      <c r="AG11" s="232">
        <f>COUNTIF(Workflows!$U$4:$U$4024,"&lt;="&amp;AF11)</f>
        <v>8</v>
      </c>
    </row>
    <row r="12" spans="2:33" s="1" customFormat="1" ht="50.1" customHeight="1" x14ac:dyDescent="0.25">
      <c r="C12" s="230" t="s">
        <v>313</v>
      </c>
      <c r="D12" s="225">
        <f>COUNTIFS(Workflows!$B$4:$B$519,$C12,Workflows!$D$4:$D$519,D$4)</f>
        <v>0</v>
      </c>
      <c r="E12" s="226">
        <f>COUNTIFS(Workflows!$B$4:$B$519,$C12,Workflows!$D$4:$D$519,E$4)</f>
        <v>0</v>
      </c>
      <c r="F12" s="226">
        <f>COUNTIFS(Workflows!$B$4:$B$519,$C12,Workflows!$D$4:$D$519,F$4)</f>
        <v>0</v>
      </c>
      <c r="G12" s="227">
        <f>COUNTIFS(Workflows!$B$4:$B$519,$C12,Workflows!$D$4:$D$519,G$4)</f>
        <v>1</v>
      </c>
      <c r="H12" s="228">
        <f>COUNTIFS(Workflows!$B$4:$B$519,$C12,Workflows!$D$4:$D$519,H$4)</f>
        <v>0</v>
      </c>
      <c r="I12" s="229">
        <f>COUNTIFS(Workflows!$B$4:$B$519,$C12,Workflows!$D$4:$D$519,I$4)</f>
        <v>0</v>
      </c>
      <c r="J12" s="236"/>
      <c r="K12" s="225">
        <f>COUNTIFS('Dispatch flows'!$B$4:$B$74,$C12,'Dispatch flows'!$D$4:$D$74,K$4)</f>
        <v>0</v>
      </c>
      <c r="L12" s="226">
        <f>COUNTIFS('Dispatch flows'!$B$4:$B$74,$C12,'Dispatch flows'!$D$4:$D$74,L$4)</f>
        <v>0</v>
      </c>
      <c r="M12" s="227">
        <f>COUNTIFS('Dispatch flows'!$B$4:$B$74,$C12,'Dispatch flows'!$D$4:$D$74,M$4)</f>
        <v>0</v>
      </c>
      <c r="N12" s="228">
        <f>COUNTIFS('Dispatch flows'!$B$4:$B$74,$C12,'Dispatch flows'!$D$4:$D$74,N$4)</f>
        <v>0</v>
      </c>
      <c r="O12" s="229">
        <f>COUNTIFS('Dispatch flows'!$B$4:$B$74,$C12,'Dispatch flows'!$D$4:$D$74,O$4)</f>
        <v>0</v>
      </c>
      <c r="AF12" s="272">
        <v>42956</v>
      </c>
      <c r="AG12" s="232">
        <f>COUNTIF(Workflows!$U$4:$U$4024,"&lt;="&amp;AF12)</f>
        <v>8</v>
      </c>
    </row>
    <row r="13" spans="2:33" s="1" customFormat="1" ht="50.1" customHeight="1" x14ac:dyDescent="0.25">
      <c r="C13" s="230" t="s">
        <v>403</v>
      </c>
      <c r="D13" s="225">
        <f>COUNTIFS(Workflows!$B$4:$B$519,$C13,Workflows!$D$4:$D$519,D$4)</f>
        <v>0</v>
      </c>
      <c r="E13" s="226">
        <f>COUNTIFS(Workflows!$B$4:$B$519,$C13,Workflows!$D$4:$D$519,E$4)</f>
        <v>0</v>
      </c>
      <c r="F13" s="407">
        <f>COUNTIFS(Workflows!$B$4:$B$519,$C13,Workflows!$D$4:$D$519,F$4)</f>
        <v>1</v>
      </c>
      <c r="G13" s="227">
        <f>COUNTIFS(Workflows!$B$4:$B$519,$C13,Workflows!$D$4:$D$519,G$4)</f>
        <v>0</v>
      </c>
      <c r="H13" s="228">
        <f>COUNTIFS(Workflows!$B$4:$B$519,$C13,Workflows!$D$4:$D$519,H$4)</f>
        <v>0</v>
      </c>
      <c r="I13" s="229">
        <f>COUNTIFS(Workflows!$B$4:$B$519,$C13,Workflows!$D$4:$D$519,I$4)</f>
        <v>0</v>
      </c>
      <c r="J13" s="236"/>
      <c r="K13" s="225">
        <f>COUNTIFS('Dispatch flows'!$B$4:$B$74,$C13,'Dispatch flows'!$D$4:$D$74,K$4)</f>
        <v>0</v>
      </c>
      <c r="L13" s="226">
        <f>COUNTIFS('Dispatch flows'!$B$4:$B$74,$C13,'Dispatch flows'!$D$4:$D$74,L$4)</f>
        <v>0</v>
      </c>
      <c r="M13" s="227">
        <f>COUNTIFS('Dispatch flows'!$B$4:$B$74,$C13,'Dispatch flows'!$D$4:$D$74,M$4)</f>
        <v>0</v>
      </c>
      <c r="N13" s="228">
        <f>COUNTIFS('Dispatch flows'!$B$4:$B$74,$C13,'Dispatch flows'!$D$4:$D$74,N$4)</f>
        <v>0</v>
      </c>
      <c r="O13" s="229">
        <f>COUNTIFS('Dispatch flows'!$B$4:$B$74,$C13,'Dispatch flows'!$D$4:$D$74,O$4)</f>
        <v>0</v>
      </c>
      <c r="AF13" s="272">
        <v>42957</v>
      </c>
      <c r="AG13" s="232">
        <f>COUNTIF(Workflows!$U$4:$U$4024,"&lt;="&amp;AF13)</f>
        <v>8</v>
      </c>
    </row>
    <row r="14" spans="2:33" s="1" customFormat="1" ht="32.25" customHeight="1" x14ac:dyDescent="0.25">
      <c r="C14" s="230" t="s">
        <v>431</v>
      </c>
      <c r="D14" s="225">
        <f>COUNTIFS(Workflows!$B$4:$B$519,$C14,Workflows!$D$4:$D$519,D$4)</f>
        <v>0</v>
      </c>
      <c r="E14" s="226">
        <f>COUNTIFS(Workflows!$B$4:$B$519,$C14,Workflows!$D$4:$D$519,E$4)</f>
        <v>0</v>
      </c>
      <c r="F14" s="407">
        <f>COUNTIFS(Workflows!$B$4:$B$519,$C14,Workflows!$D$4:$D$519,F$4)</f>
        <v>0</v>
      </c>
      <c r="G14" s="227">
        <f>COUNTIFS(Workflows!$B$4:$B$519,$C14,Workflows!$D$4:$D$519,G$4)</f>
        <v>4</v>
      </c>
      <c r="H14" s="228">
        <f>COUNTIFS(Workflows!$B$4:$B$519,$C14,Workflows!$D$4:$D$519,H$4)</f>
        <v>0</v>
      </c>
      <c r="I14" s="229">
        <f>COUNTIFS(Workflows!$B$4:$B$519,$C14,Workflows!$D$4:$D$519,I$4)</f>
        <v>0</v>
      </c>
      <c r="J14" s="236"/>
      <c r="K14" s="225">
        <f>COUNTIFS('Dispatch flows'!$B$4:$B$74,$C14,'Dispatch flows'!$D$4:$D$74,K$4)</f>
        <v>0</v>
      </c>
      <c r="L14" s="226">
        <f>COUNTIFS('Dispatch flows'!$B$4:$B$74,$C14,'Dispatch flows'!$D$4:$D$74,L$4)</f>
        <v>0</v>
      </c>
      <c r="M14" s="227">
        <f>COUNTIFS('Dispatch flows'!$B$4:$B$74,$C14,'Dispatch flows'!$D$4:$D$74,M$4)</f>
        <v>0</v>
      </c>
      <c r="N14" s="228">
        <f>COUNTIFS('Dispatch flows'!$B$4:$B$74,$C14,'Dispatch flows'!$D$4:$D$74,N$4)</f>
        <v>0</v>
      </c>
      <c r="O14" s="229">
        <f>COUNTIFS('Dispatch flows'!$B$4:$B$74,$C14,'Dispatch flows'!$D$4:$D$74,O$4)</f>
        <v>0</v>
      </c>
      <c r="AF14" s="272">
        <v>42958</v>
      </c>
      <c r="AG14" s="232">
        <f>COUNTIF(Workflows!$U$4:$U$4024,"&lt;="&amp;AF14)</f>
        <v>8</v>
      </c>
    </row>
    <row r="15" spans="2:33" s="1" customFormat="1" x14ac:dyDescent="0.25">
      <c r="D15" s="220"/>
      <c r="E15" s="221"/>
      <c r="F15" s="221"/>
      <c r="G15" s="222"/>
      <c r="H15" s="223"/>
      <c r="I15" s="224"/>
      <c r="K15" s="220"/>
      <c r="L15" s="221"/>
      <c r="M15" s="222"/>
      <c r="N15" s="223"/>
      <c r="O15" s="224"/>
      <c r="AF15" s="272">
        <v>42959</v>
      </c>
      <c r="AG15" s="232">
        <f>COUNTIF(Workflows!$U$4:$U$4024,"&lt;="&amp;AF15)</f>
        <v>8</v>
      </c>
    </row>
    <row r="16" spans="2:33" s="1" customFormat="1" x14ac:dyDescent="0.25">
      <c r="D16" s="220"/>
      <c r="E16" s="221"/>
      <c r="F16" s="221"/>
      <c r="G16" s="222"/>
      <c r="H16" s="223"/>
      <c r="I16" s="224"/>
      <c r="K16" s="220"/>
      <c r="L16" s="221"/>
      <c r="M16" s="222"/>
      <c r="N16" s="223"/>
      <c r="O16" s="224"/>
      <c r="AF16" s="272">
        <v>42960</v>
      </c>
      <c r="AG16" s="232">
        <f>COUNTIF(Workflows!$U$4:$U$4024,"&lt;="&amp;AF16)</f>
        <v>8</v>
      </c>
    </row>
    <row r="17" spans="4:33" s="1" customFormat="1" x14ac:dyDescent="0.25">
      <c r="D17" s="220"/>
      <c r="E17" s="221"/>
      <c r="F17" s="221"/>
      <c r="G17" s="222"/>
      <c r="H17" s="223"/>
      <c r="I17" s="224"/>
      <c r="K17" s="220"/>
      <c r="L17" s="221"/>
      <c r="M17" s="222"/>
      <c r="N17" s="223"/>
      <c r="O17" s="224"/>
      <c r="AF17" s="272">
        <v>42961</v>
      </c>
      <c r="AG17" s="232">
        <f>COUNTIF(Workflows!$U$4:$U$4024,"&lt;="&amp;AF17)</f>
        <v>8</v>
      </c>
    </row>
    <row r="18" spans="4:33" s="1" customFormat="1" x14ac:dyDescent="0.25">
      <c r="D18" s="220"/>
      <c r="E18" s="221"/>
      <c r="F18" s="221"/>
      <c r="G18" s="222"/>
      <c r="H18" s="223"/>
      <c r="I18" s="224"/>
      <c r="K18" s="220"/>
      <c r="L18" s="221"/>
      <c r="M18" s="222"/>
      <c r="N18" s="223"/>
      <c r="O18" s="224"/>
      <c r="AF18" s="272">
        <v>42962</v>
      </c>
      <c r="AG18" s="232">
        <f>COUNTIF(Workflows!$U$4:$U$4024,"&lt;="&amp;AF18)</f>
        <v>8</v>
      </c>
    </row>
    <row r="19" spans="4:33" s="1" customFormat="1" x14ac:dyDescent="0.25">
      <c r="D19" s="220"/>
      <c r="E19" s="221"/>
      <c r="F19" s="221"/>
      <c r="G19" s="222"/>
      <c r="H19" s="223"/>
      <c r="I19" s="222"/>
      <c r="K19" s="220"/>
      <c r="L19" s="221"/>
      <c r="M19" s="222"/>
      <c r="N19" s="223"/>
      <c r="O19" s="222"/>
      <c r="AF19" s="272">
        <v>42963</v>
      </c>
      <c r="AG19" s="232">
        <f>COUNTIF(Workflows!$U$4:$U$4024,"&lt;="&amp;AF19)</f>
        <v>8</v>
      </c>
    </row>
    <row r="20" spans="4:33" s="1" customFormat="1" x14ac:dyDescent="0.25">
      <c r="D20" s="220"/>
      <c r="E20" s="221"/>
      <c r="F20" s="221"/>
      <c r="G20" s="222"/>
      <c r="H20" s="223"/>
      <c r="I20" s="224"/>
      <c r="K20" s="220"/>
      <c r="L20" s="221"/>
      <c r="M20" s="222"/>
      <c r="N20" s="223"/>
      <c r="O20" s="224"/>
      <c r="AF20" s="272">
        <v>42964</v>
      </c>
      <c r="AG20" s="232">
        <f>COUNTIF(Workflows!$U$4:$U$4024,"&lt;="&amp;AF20)</f>
        <v>8</v>
      </c>
    </row>
    <row r="21" spans="4:33" s="1" customFormat="1" x14ac:dyDescent="0.25">
      <c r="D21" s="220"/>
      <c r="E21" s="221"/>
      <c r="F21" s="221"/>
      <c r="G21" s="222"/>
      <c r="H21" s="223"/>
      <c r="I21" s="224"/>
      <c r="K21" s="220"/>
      <c r="L21" s="221"/>
      <c r="M21" s="222"/>
      <c r="N21" s="223"/>
      <c r="O21" s="224"/>
      <c r="AF21" s="272">
        <v>42965</v>
      </c>
      <c r="AG21" s="232">
        <f>COUNTIF(Workflows!$U$4:$U$4024,"&lt;="&amp;AF21)</f>
        <v>8</v>
      </c>
    </row>
    <row r="22" spans="4:33" s="1" customFormat="1" x14ac:dyDescent="0.25">
      <c r="D22" s="220"/>
      <c r="E22" s="221"/>
      <c r="F22" s="221"/>
      <c r="G22" s="222"/>
      <c r="H22" s="223"/>
      <c r="I22" s="224"/>
      <c r="K22" s="220"/>
      <c r="L22" s="221"/>
      <c r="M22" s="222"/>
      <c r="N22" s="223"/>
      <c r="O22" s="224"/>
      <c r="AF22" s="272">
        <v>42966</v>
      </c>
      <c r="AG22" s="232">
        <f>COUNTIF(Workflows!$U$4:$U$4024,"&lt;="&amp;AF22)</f>
        <v>8</v>
      </c>
    </row>
    <row r="23" spans="4:33" s="1" customFormat="1" x14ac:dyDescent="0.25">
      <c r="D23" s="220"/>
      <c r="E23" s="221"/>
      <c r="F23" s="221"/>
      <c r="G23" s="222"/>
      <c r="H23" s="223"/>
      <c r="I23" s="224"/>
      <c r="K23" s="220"/>
      <c r="L23" s="221"/>
      <c r="M23" s="222"/>
      <c r="N23" s="223"/>
      <c r="O23" s="224"/>
      <c r="AF23" s="272">
        <v>42967</v>
      </c>
      <c r="AG23" s="232">
        <f>COUNTIF(Workflows!$U$4:$U$4024,"&lt;="&amp;AF23)</f>
        <v>8</v>
      </c>
    </row>
    <row r="24" spans="4:33" s="1" customFormat="1" x14ac:dyDescent="0.25">
      <c r="D24" s="220"/>
      <c r="E24" s="221"/>
      <c r="F24" s="221"/>
      <c r="G24" s="222"/>
      <c r="H24" s="223"/>
      <c r="I24" s="224"/>
      <c r="K24" s="220"/>
      <c r="L24" s="221"/>
      <c r="M24" s="222"/>
      <c r="N24" s="223"/>
      <c r="O24" s="224"/>
      <c r="AF24" s="272">
        <v>42968</v>
      </c>
      <c r="AG24" s="232">
        <f>COUNTIF(Workflows!$U$4:$U$4024,"&lt;="&amp;AF24)</f>
        <v>8</v>
      </c>
    </row>
    <row r="25" spans="4:33" s="1" customFormat="1" x14ac:dyDescent="0.25">
      <c r="D25" s="220"/>
      <c r="E25" s="221"/>
      <c r="F25" s="221"/>
      <c r="G25" s="222"/>
      <c r="H25" s="223"/>
      <c r="I25" s="224"/>
      <c r="K25" s="220"/>
      <c r="L25" s="221"/>
      <c r="M25" s="222"/>
      <c r="N25" s="223"/>
      <c r="O25" s="224"/>
      <c r="AF25" s="272">
        <v>42969</v>
      </c>
      <c r="AG25" s="232">
        <f>COUNTIF(Workflows!$U$4:$U$4024,"&lt;="&amp;AF25)</f>
        <v>8</v>
      </c>
    </row>
    <row r="26" spans="4:33" s="1" customFormat="1" x14ac:dyDescent="0.25">
      <c r="D26" s="220"/>
      <c r="E26" s="221"/>
      <c r="F26" s="221"/>
      <c r="G26" s="222"/>
      <c r="H26" s="223"/>
      <c r="I26" s="224"/>
      <c r="K26" s="220"/>
      <c r="L26" s="221"/>
      <c r="M26" s="222"/>
      <c r="N26" s="223"/>
      <c r="O26" s="224"/>
      <c r="AF26" s="272">
        <v>42970</v>
      </c>
      <c r="AG26" s="232">
        <f>COUNTIF(Workflows!$U$4:$U$4024,"&lt;="&amp;AF26)</f>
        <v>8</v>
      </c>
    </row>
    <row r="27" spans="4:33" s="1" customFormat="1" x14ac:dyDescent="0.25">
      <c r="D27" s="220"/>
      <c r="E27" s="221"/>
      <c r="F27" s="221"/>
      <c r="G27" s="222"/>
      <c r="H27" s="223"/>
      <c r="I27" s="224"/>
      <c r="K27" s="220"/>
      <c r="L27" s="221"/>
      <c r="M27" s="222"/>
      <c r="N27" s="223"/>
      <c r="O27" s="224"/>
      <c r="AF27" s="272">
        <v>42971</v>
      </c>
      <c r="AG27" s="232">
        <f>COUNTIF(Workflows!$U$4:$U$4024,"&lt;="&amp;AF27)</f>
        <v>8</v>
      </c>
    </row>
    <row r="28" spans="4:33" s="1" customFormat="1" x14ac:dyDescent="0.25">
      <c r="D28" s="220"/>
      <c r="E28" s="221"/>
      <c r="F28" s="221"/>
      <c r="G28" s="222"/>
      <c r="H28" s="223"/>
      <c r="I28" s="224"/>
      <c r="K28" s="220"/>
      <c r="L28" s="221"/>
      <c r="M28" s="222"/>
      <c r="N28" s="223"/>
      <c r="O28" s="224"/>
      <c r="AF28" s="272">
        <v>42972</v>
      </c>
      <c r="AG28" s="232">
        <f>COUNTIF(Workflows!$U$4:$U$4024,"&lt;="&amp;AF28)</f>
        <v>8</v>
      </c>
    </row>
    <row r="29" spans="4:33" s="1" customFormat="1" x14ac:dyDescent="0.25">
      <c r="D29" s="220"/>
      <c r="E29" s="221"/>
      <c r="F29" s="221"/>
      <c r="G29" s="222"/>
      <c r="H29" s="223"/>
      <c r="I29" s="224"/>
      <c r="K29" s="220"/>
      <c r="L29" s="221"/>
      <c r="M29" s="222"/>
      <c r="N29" s="223"/>
      <c r="O29" s="224"/>
      <c r="AF29" s="272">
        <v>42973</v>
      </c>
      <c r="AG29" s="232">
        <f>COUNTIF(Workflows!$U$4:$U$4024,"&lt;="&amp;AF29)</f>
        <v>8</v>
      </c>
    </row>
    <row r="30" spans="4:33" s="1" customFormat="1" x14ac:dyDescent="0.25">
      <c r="D30" s="220"/>
      <c r="E30" s="221"/>
      <c r="F30" s="221"/>
      <c r="I30" s="224"/>
      <c r="K30" s="220"/>
      <c r="L30" s="221"/>
      <c r="O30" s="224"/>
      <c r="AF30" s="272">
        <v>42974</v>
      </c>
      <c r="AG30" s="232">
        <f>COUNTIF(Workflows!$U$4:$U$4024,"&lt;="&amp;AF30)</f>
        <v>8</v>
      </c>
    </row>
    <row r="31" spans="4:33" s="1" customFormat="1" x14ac:dyDescent="0.25">
      <c r="D31" s="220"/>
      <c r="I31" s="224"/>
      <c r="K31" s="220"/>
      <c r="O31" s="224"/>
      <c r="AF31" s="272">
        <v>42975</v>
      </c>
      <c r="AG31" s="232">
        <f>COUNTIF(Workflows!$U$4:$U$4024,"&lt;="&amp;AF31)</f>
        <v>8</v>
      </c>
    </row>
    <row r="32" spans="4:33" s="1" customFormat="1" x14ac:dyDescent="0.25">
      <c r="I32" s="224"/>
      <c r="O32" s="224"/>
      <c r="AF32" s="272">
        <v>42976</v>
      </c>
      <c r="AG32" s="232">
        <f>COUNTIF(Workflows!$U$4:$U$4024,"&lt;="&amp;AF32)</f>
        <v>8</v>
      </c>
    </row>
    <row r="33" spans="32:33" s="1" customFormat="1" x14ac:dyDescent="0.25">
      <c r="AF33" s="272">
        <v>42977</v>
      </c>
      <c r="AG33" s="232">
        <f>COUNTIF(Workflows!$U$4:$U$4024,"&lt;="&amp;AF33)</f>
        <v>8</v>
      </c>
    </row>
    <row r="34" spans="32:33" s="1" customFormat="1" x14ac:dyDescent="0.25">
      <c r="AF34" s="272">
        <v>42978</v>
      </c>
      <c r="AG34" s="232">
        <f>COUNTIF(Workflows!$U$4:$U$4024,"&lt;="&amp;AF34)</f>
        <v>8</v>
      </c>
    </row>
    <row r="35" spans="32:33" s="1" customFormat="1" x14ac:dyDescent="0.25">
      <c r="AF35" s="272">
        <v>42979</v>
      </c>
      <c r="AG35" s="232">
        <f>COUNTIF(Workflows!$U$4:$U$4024,"&lt;="&amp;AF35)</f>
        <v>8</v>
      </c>
    </row>
    <row r="36" spans="32:33" s="1" customFormat="1" x14ac:dyDescent="0.25">
      <c r="AF36" s="272">
        <v>42980</v>
      </c>
      <c r="AG36" s="232">
        <f>COUNTIF(Workflows!$U$4:$U$4024,"&lt;="&amp;AF36)</f>
        <v>8</v>
      </c>
    </row>
    <row r="37" spans="32:33" s="1" customFormat="1" x14ac:dyDescent="0.25">
      <c r="AF37" s="272">
        <v>42981</v>
      </c>
      <c r="AG37" s="232">
        <f>COUNTIF(Workflows!$U$4:$U$4024,"&lt;="&amp;AF37)</f>
        <v>8</v>
      </c>
    </row>
    <row r="38" spans="32:33" s="1" customFormat="1" x14ac:dyDescent="0.25">
      <c r="AF38" s="272">
        <v>42982</v>
      </c>
      <c r="AG38" s="232">
        <f>COUNTIF(Workflows!$U$4:$U$4024,"&lt;="&amp;AF38)</f>
        <v>8</v>
      </c>
    </row>
    <row r="39" spans="32:33" s="1" customFormat="1" x14ac:dyDescent="0.25">
      <c r="AF39" s="272">
        <v>42983</v>
      </c>
      <c r="AG39" s="232">
        <f>COUNTIF(Workflows!$U$4:$U$4024,"&lt;="&amp;AF39)</f>
        <v>8</v>
      </c>
    </row>
    <row r="40" spans="32:33" s="1" customFormat="1" x14ac:dyDescent="0.25">
      <c r="AF40" s="272">
        <v>42984</v>
      </c>
      <c r="AG40" s="232">
        <f>COUNTIF(Workflows!$U$4:$U$4024,"&lt;="&amp;AF40)</f>
        <v>8</v>
      </c>
    </row>
    <row r="41" spans="32:33" s="1" customFormat="1" x14ac:dyDescent="0.25">
      <c r="AF41" s="272">
        <v>42985</v>
      </c>
      <c r="AG41" s="232">
        <f>COUNTIF(Workflows!$U$4:$U$4024,"&lt;="&amp;AF41)</f>
        <v>8</v>
      </c>
    </row>
    <row r="42" spans="32:33" s="1" customFormat="1" x14ac:dyDescent="0.25">
      <c r="AF42" s="272">
        <v>42986</v>
      </c>
      <c r="AG42" s="232">
        <f>COUNTIF(Workflows!$U$4:$U$4024,"&lt;="&amp;AF42)</f>
        <v>8</v>
      </c>
    </row>
    <row r="43" spans="32:33" s="1" customFormat="1" x14ac:dyDescent="0.25">
      <c r="AF43" s="272">
        <v>42987</v>
      </c>
      <c r="AG43" s="232">
        <f>COUNTIF(Workflows!$U$4:$U$4024,"&lt;="&amp;AF43)</f>
        <v>8</v>
      </c>
    </row>
    <row r="44" spans="32:33" s="1" customFormat="1" x14ac:dyDescent="0.25">
      <c r="AF44" s="272">
        <v>42988</v>
      </c>
      <c r="AG44" s="232">
        <f>COUNTIF(Workflows!$U$4:$U$4024,"&lt;="&amp;AF44)</f>
        <v>18</v>
      </c>
    </row>
    <row r="45" spans="32:33" s="1" customFormat="1" x14ac:dyDescent="0.25">
      <c r="AF45" s="272">
        <v>42989</v>
      </c>
      <c r="AG45" s="232">
        <f>COUNTIF(Workflows!$U$4:$U$4024,"&lt;="&amp;AF45)</f>
        <v>18</v>
      </c>
    </row>
    <row r="46" spans="32:33" s="1" customFormat="1" x14ac:dyDescent="0.25">
      <c r="AF46" s="272">
        <v>42990</v>
      </c>
      <c r="AG46" s="232">
        <f>COUNTIF(Workflows!$U$4:$U$4024,"&lt;="&amp;AF46)</f>
        <v>18</v>
      </c>
    </row>
    <row r="47" spans="32:33" s="1" customFormat="1" x14ac:dyDescent="0.25">
      <c r="AF47" s="272">
        <v>42991</v>
      </c>
      <c r="AG47" s="232">
        <f>COUNTIF(Workflows!$U$4:$U$4024,"&lt;="&amp;AF47)</f>
        <v>18</v>
      </c>
    </row>
    <row r="48" spans="32:33" s="1" customFormat="1" x14ac:dyDescent="0.25">
      <c r="AF48" s="272">
        <v>42992</v>
      </c>
      <c r="AG48" s="232">
        <f>COUNTIF(Workflows!$U$4:$U$4024,"&lt;="&amp;AF48)</f>
        <v>18</v>
      </c>
    </row>
    <row r="49" spans="32:33" s="1" customFormat="1" x14ac:dyDescent="0.25">
      <c r="AF49" s="272">
        <v>42993</v>
      </c>
      <c r="AG49" s="232">
        <f>COUNTIF(Workflows!$U$4:$U$4024,"&lt;="&amp;AF49)</f>
        <v>18</v>
      </c>
    </row>
    <row r="50" spans="32:33" s="1" customFormat="1" x14ac:dyDescent="0.25">
      <c r="AF50" s="272">
        <v>42994</v>
      </c>
      <c r="AG50" s="232">
        <f>COUNTIF(Workflows!$U$4:$U$4024,"&lt;="&amp;AF50)</f>
        <v>18</v>
      </c>
    </row>
    <row r="51" spans="32:33" s="1" customFormat="1" x14ac:dyDescent="0.25">
      <c r="AF51" s="272">
        <v>42995</v>
      </c>
      <c r="AG51" s="232">
        <f>COUNTIF(Workflows!$U$4:$U$4024,"&lt;="&amp;AF51)</f>
        <v>18</v>
      </c>
    </row>
    <row r="52" spans="32:33" s="1" customFormat="1" x14ac:dyDescent="0.25">
      <c r="AF52" s="272">
        <v>42996</v>
      </c>
      <c r="AG52" s="232">
        <f>COUNTIF(Workflows!$U$4:$U$4024,"&lt;="&amp;AF52)</f>
        <v>18</v>
      </c>
    </row>
    <row r="53" spans="32:33" s="1" customFormat="1" x14ac:dyDescent="0.25">
      <c r="AF53" s="272">
        <v>42997</v>
      </c>
      <c r="AG53" s="232">
        <f>COUNTIF(Workflows!$U$4:$U$4024,"&lt;="&amp;AF53)</f>
        <v>18</v>
      </c>
    </row>
    <row r="54" spans="32:33" s="1" customFormat="1" x14ac:dyDescent="0.25">
      <c r="AF54" s="272">
        <v>42998</v>
      </c>
      <c r="AG54" s="232">
        <f>COUNTIF(Workflows!$U$4:$U$4024,"&lt;="&amp;AF54)</f>
        <v>18</v>
      </c>
    </row>
    <row r="55" spans="32:33" s="1" customFormat="1" x14ac:dyDescent="0.25">
      <c r="AF55" s="272">
        <v>42999</v>
      </c>
      <c r="AG55" s="232">
        <f>COUNTIF(Workflows!$U$4:$U$4024,"&lt;="&amp;AF55)</f>
        <v>18</v>
      </c>
    </row>
    <row r="56" spans="32:33" s="1" customFormat="1" x14ac:dyDescent="0.25">
      <c r="AF56" s="272">
        <v>43000</v>
      </c>
      <c r="AG56" s="232">
        <f>COUNTIF(Workflows!$U$4:$U$4024,"&lt;="&amp;AF56)</f>
        <v>18</v>
      </c>
    </row>
    <row r="57" spans="32:33" s="1" customFormat="1" x14ac:dyDescent="0.25">
      <c r="AF57" s="272">
        <v>43001</v>
      </c>
      <c r="AG57" s="232">
        <f>COUNTIF(Workflows!$U$4:$U$4024,"&lt;="&amp;AF57)</f>
        <v>18</v>
      </c>
    </row>
    <row r="58" spans="32:33" s="1" customFormat="1" x14ac:dyDescent="0.25">
      <c r="AF58" s="272">
        <v>43002</v>
      </c>
      <c r="AG58" s="232">
        <f>COUNTIF(Workflows!$U$4:$U$4024,"&lt;="&amp;AF58)</f>
        <v>18</v>
      </c>
    </row>
    <row r="59" spans="32:33" s="1" customFormat="1" x14ac:dyDescent="0.25">
      <c r="AF59" s="272">
        <v>43003</v>
      </c>
      <c r="AG59" s="232">
        <f>COUNTIF(Workflows!$U$4:$U$4024,"&lt;="&amp;AF59)</f>
        <v>18</v>
      </c>
    </row>
    <row r="60" spans="32:33" s="1" customFormat="1" x14ac:dyDescent="0.25">
      <c r="AF60" s="272">
        <v>43004</v>
      </c>
      <c r="AG60" s="232">
        <f>COUNTIF(Workflows!$U$4:$U$4024,"&lt;="&amp;AF60)</f>
        <v>18</v>
      </c>
    </row>
    <row r="61" spans="32:33" s="1" customFormat="1" x14ac:dyDescent="0.25">
      <c r="AF61" s="272">
        <v>43005</v>
      </c>
      <c r="AG61" s="232">
        <f>COUNTIF(Workflows!$U$4:$U$4024,"&lt;="&amp;AF61)</f>
        <v>18</v>
      </c>
    </row>
    <row r="62" spans="32:33" s="1" customFormat="1" x14ac:dyDescent="0.25">
      <c r="AF62" s="272">
        <v>43006</v>
      </c>
      <c r="AG62" s="232">
        <f>COUNTIF(Workflows!$U$4:$U$4024,"&lt;="&amp;AF62)</f>
        <v>18</v>
      </c>
    </row>
    <row r="63" spans="32:33" s="1" customFormat="1" x14ac:dyDescent="0.25">
      <c r="AF63" s="272">
        <v>43007</v>
      </c>
      <c r="AG63" s="232">
        <f>COUNTIF(Workflows!$U$4:$U$4024,"&lt;="&amp;AF63)</f>
        <v>18</v>
      </c>
    </row>
    <row r="64" spans="32:33" s="1" customFormat="1" x14ac:dyDescent="0.25">
      <c r="AF64" s="272">
        <v>43008</v>
      </c>
      <c r="AG64" s="232">
        <f>COUNTIF(Workflows!$U$4:$U$4024,"&lt;="&amp;AF64)</f>
        <v>18</v>
      </c>
    </row>
    <row r="65" spans="32:33" s="1" customFormat="1" x14ac:dyDescent="0.25">
      <c r="AF65" s="272">
        <v>43009</v>
      </c>
      <c r="AG65" s="232">
        <f>COUNTIF(Workflows!$U$4:$U$4024,"&lt;="&amp;AF65)</f>
        <v>18</v>
      </c>
    </row>
    <row r="66" spans="32:33" s="1" customFormat="1" x14ac:dyDescent="0.25">
      <c r="AF66" s="272">
        <v>43010</v>
      </c>
      <c r="AG66" s="232">
        <f>COUNTIF(Workflows!$U$4:$U$4024,"&lt;="&amp;AF66)</f>
        <v>18</v>
      </c>
    </row>
    <row r="67" spans="32:33" s="1" customFormat="1" x14ac:dyDescent="0.25">
      <c r="AF67" s="272">
        <v>43011</v>
      </c>
      <c r="AG67" s="232">
        <f>COUNTIF(Workflows!$U$4:$U$4024,"&lt;="&amp;AF67)</f>
        <v>18</v>
      </c>
    </row>
    <row r="68" spans="32:33" s="1" customFormat="1" x14ac:dyDescent="0.25">
      <c r="AF68" s="272">
        <v>43012</v>
      </c>
      <c r="AG68" s="232">
        <f>COUNTIF(Workflows!$U$4:$U$4024,"&lt;="&amp;AF68)</f>
        <v>18</v>
      </c>
    </row>
    <row r="69" spans="32:33" s="1" customFormat="1" x14ac:dyDescent="0.25">
      <c r="AF69" s="272">
        <v>43013</v>
      </c>
      <c r="AG69" s="232">
        <f>COUNTIF(Workflows!$U$4:$U$4024,"&lt;="&amp;AF69)</f>
        <v>18</v>
      </c>
    </row>
    <row r="70" spans="32:33" s="1" customFormat="1" x14ac:dyDescent="0.25">
      <c r="AF70" s="272">
        <v>43014</v>
      </c>
      <c r="AG70" s="232">
        <f>COUNTIF(Workflows!$U$4:$U$4024,"&lt;="&amp;AF70)</f>
        <v>18</v>
      </c>
    </row>
    <row r="71" spans="32:33" s="1" customFormat="1" x14ac:dyDescent="0.25">
      <c r="AF71" s="272">
        <v>43015</v>
      </c>
      <c r="AG71" s="232">
        <f>COUNTIF(Workflows!$U$4:$U$4024,"&lt;="&amp;AF71)</f>
        <v>18</v>
      </c>
    </row>
    <row r="72" spans="32:33" s="1" customFormat="1" x14ac:dyDescent="0.25">
      <c r="AF72" s="272">
        <v>43016</v>
      </c>
      <c r="AG72" s="232">
        <f>COUNTIF(Workflows!$U$4:$U$4024,"&lt;="&amp;AF72)</f>
        <v>18</v>
      </c>
    </row>
    <row r="73" spans="32:33" s="1" customFormat="1" x14ac:dyDescent="0.25">
      <c r="AF73" s="272">
        <v>43017</v>
      </c>
      <c r="AG73" s="232">
        <f>COUNTIF(Workflows!$U$4:$U$4024,"&lt;="&amp;AF73)</f>
        <v>18</v>
      </c>
    </row>
    <row r="74" spans="32:33" s="1" customFormat="1" x14ac:dyDescent="0.25">
      <c r="AF74" s="272">
        <v>43018</v>
      </c>
      <c r="AG74" s="232">
        <f>COUNTIF(Workflows!$U$4:$U$4024,"&lt;="&amp;AF74)</f>
        <v>18</v>
      </c>
    </row>
    <row r="75" spans="32:33" s="1" customFormat="1" x14ac:dyDescent="0.25">
      <c r="AF75" s="272">
        <v>43019</v>
      </c>
      <c r="AG75" s="232">
        <f>COUNTIF(Workflows!$U$4:$U$4024,"&lt;="&amp;AF75)</f>
        <v>18</v>
      </c>
    </row>
    <row r="76" spans="32:33" s="1" customFormat="1" x14ac:dyDescent="0.25">
      <c r="AF76" s="272">
        <v>43020</v>
      </c>
      <c r="AG76" s="232">
        <f>COUNTIF(Workflows!$U$4:$U$4024,"&lt;="&amp;AF76)</f>
        <v>18</v>
      </c>
    </row>
    <row r="77" spans="32:33" s="1" customFormat="1" x14ac:dyDescent="0.25">
      <c r="AF77" s="272">
        <v>43021</v>
      </c>
      <c r="AG77" s="232">
        <f>COUNTIF(Workflows!$U$4:$U$4024,"&lt;="&amp;AF77)</f>
        <v>18</v>
      </c>
    </row>
    <row r="78" spans="32:33" x14ac:dyDescent="0.25">
      <c r="AF78" s="272">
        <v>43022</v>
      </c>
      <c r="AG78" s="232">
        <f>COUNTIF(Workflows!$U$4:$U$4024,"&lt;="&amp;AF78)</f>
        <v>18</v>
      </c>
    </row>
    <row r="79" spans="32:33" x14ac:dyDescent="0.25">
      <c r="AF79" s="272">
        <v>43023</v>
      </c>
      <c r="AG79" s="232">
        <f>COUNTIF(Workflows!$U$4:$U$4024,"&lt;="&amp;AF79)</f>
        <v>18</v>
      </c>
    </row>
    <row r="80" spans="32:33" x14ac:dyDescent="0.25">
      <c r="AF80" s="272">
        <v>43024</v>
      </c>
      <c r="AG80" s="232">
        <f>COUNTIF(Workflows!$U$4:$U$4024,"&lt;="&amp;AF80)</f>
        <v>18</v>
      </c>
    </row>
    <row r="81" spans="32:33" x14ac:dyDescent="0.25">
      <c r="AF81" s="272">
        <v>43025</v>
      </c>
      <c r="AG81" s="232">
        <f>COUNTIF(Workflows!$U$4:$U$4024,"&lt;="&amp;AF81)</f>
        <v>18</v>
      </c>
    </row>
    <row r="82" spans="32:33" x14ac:dyDescent="0.25">
      <c r="AF82" s="272">
        <v>43026</v>
      </c>
      <c r="AG82" s="232">
        <f>COUNTIF(Workflows!$U$4:$U$4024,"&lt;="&amp;AF82)</f>
        <v>18</v>
      </c>
    </row>
    <row r="83" spans="32:33" x14ac:dyDescent="0.25">
      <c r="AF83" s="272">
        <v>43027</v>
      </c>
      <c r="AG83" s="232">
        <f>COUNTIF(Workflows!$U$4:$U$4024,"&lt;="&amp;AF83)</f>
        <v>18</v>
      </c>
    </row>
    <row r="84" spans="32:33" x14ac:dyDescent="0.25">
      <c r="AF84" s="272">
        <v>43028</v>
      </c>
      <c r="AG84" s="232">
        <f>COUNTIF(Workflows!$U$4:$U$4024,"&lt;="&amp;AF84)</f>
        <v>18</v>
      </c>
    </row>
    <row r="85" spans="32:33" x14ac:dyDescent="0.25">
      <c r="AF85" s="272">
        <v>43029</v>
      </c>
      <c r="AG85" s="232">
        <f>COUNTIF(Workflows!$U$4:$U$4024,"&lt;="&amp;AF85)</f>
        <v>18</v>
      </c>
    </row>
    <row r="86" spans="32:33" x14ac:dyDescent="0.25">
      <c r="AF86" s="272">
        <v>43030</v>
      </c>
      <c r="AG86" s="232">
        <f>COUNTIF(Workflows!$U$4:$U$4024,"&lt;="&amp;AF86)</f>
        <v>18</v>
      </c>
    </row>
    <row r="87" spans="32:33" x14ac:dyDescent="0.25">
      <c r="AF87" s="272">
        <v>43031</v>
      </c>
      <c r="AG87" s="232">
        <f>COUNTIF(Workflows!$U$4:$U$4024,"&lt;="&amp;AF87)</f>
        <v>18</v>
      </c>
    </row>
    <row r="88" spans="32:33" x14ac:dyDescent="0.25">
      <c r="AF88" s="272">
        <v>43032</v>
      </c>
      <c r="AG88" s="232">
        <f>COUNTIF(Workflows!$U$4:$U$4024,"&lt;="&amp;AF88)</f>
        <v>18</v>
      </c>
    </row>
    <row r="89" spans="32:33" x14ac:dyDescent="0.25">
      <c r="AF89" s="272">
        <v>43033</v>
      </c>
      <c r="AG89" s="232">
        <f>COUNTIF(Workflows!$U$4:$U$4024,"&lt;="&amp;AF89)</f>
        <v>18</v>
      </c>
    </row>
    <row r="90" spans="32:33" x14ac:dyDescent="0.25">
      <c r="AF90" s="272">
        <v>43034</v>
      </c>
      <c r="AG90" s="232">
        <f>COUNTIF(Workflows!$U$4:$U$4024,"&lt;="&amp;AF90)</f>
        <v>18</v>
      </c>
    </row>
    <row r="91" spans="32:33" x14ac:dyDescent="0.25">
      <c r="AF91" s="272">
        <v>43035</v>
      </c>
      <c r="AG91" s="232">
        <f>COUNTIF(Workflows!$U$4:$U$4024,"&lt;="&amp;AF91)</f>
        <v>18</v>
      </c>
    </row>
    <row r="92" spans="32:33" x14ac:dyDescent="0.25">
      <c r="AF92" s="272">
        <v>43036</v>
      </c>
      <c r="AG92" s="232">
        <f>COUNTIF(Workflows!$U$4:$U$4024,"&lt;="&amp;AF92)</f>
        <v>18</v>
      </c>
    </row>
    <row r="93" spans="32:33" x14ac:dyDescent="0.25">
      <c r="AF93" s="272">
        <v>43037</v>
      </c>
      <c r="AG93" s="232">
        <f>COUNTIF(Workflows!$U$4:$U$4024,"&lt;="&amp;AF93)</f>
        <v>18</v>
      </c>
    </row>
    <row r="94" spans="32:33" x14ac:dyDescent="0.25">
      <c r="AF94" s="272">
        <v>43038</v>
      </c>
      <c r="AG94" s="232">
        <f>COUNTIF(Workflows!$U$4:$U$4024,"&lt;="&amp;AF94)</f>
        <v>18</v>
      </c>
    </row>
    <row r="95" spans="32:33" x14ac:dyDescent="0.25">
      <c r="AF95" s="272">
        <v>43039</v>
      </c>
      <c r="AG95" s="232">
        <f>COUNTIF(Workflows!$U$4:$U$4024,"&lt;="&amp;AF95)</f>
        <v>18</v>
      </c>
    </row>
    <row r="96" spans="32:33" x14ac:dyDescent="0.25">
      <c r="AF96" s="272">
        <v>43040</v>
      </c>
      <c r="AG96" s="232">
        <f>COUNTIF(Workflows!$U$4:$U$4024,"&lt;="&amp;AF96)</f>
        <v>18</v>
      </c>
    </row>
    <row r="97" spans="32:33" x14ac:dyDescent="0.25">
      <c r="AF97" s="272">
        <v>43041</v>
      </c>
      <c r="AG97" s="232">
        <f>COUNTIF(Workflows!$U$4:$U$4024,"&lt;="&amp;AF97)</f>
        <v>18</v>
      </c>
    </row>
    <row r="98" spans="32:33" x14ac:dyDescent="0.25">
      <c r="AF98" s="272">
        <v>43042</v>
      </c>
      <c r="AG98" s="232">
        <f>COUNTIF(Workflows!$U$4:$U$4024,"&lt;="&amp;AF98)</f>
        <v>18</v>
      </c>
    </row>
    <row r="99" spans="32:33" x14ac:dyDescent="0.25">
      <c r="AF99" s="272">
        <v>43043</v>
      </c>
      <c r="AG99" s="232">
        <f>COUNTIF(Workflows!$U$4:$U$4024,"&lt;="&amp;AF99)</f>
        <v>18</v>
      </c>
    </row>
    <row r="100" spans="32:33" x14ac:dyDescent="0.25">
      <c r="AF100" s="272">
        <v>43044</v>
      </c>
      <c r="AG100" s="232">
        <f>COUNTIF(Workflows!$U$4:$U$4024,"&lt;="&amp;AF100)</f>
        <v>18</v>
      </c>
    </row>
    <row r="101" spans="32:33" x14ac:dyDescent="0.25">
      <c r="AF101" s="272">
        <v>43045</v>
      </c>
      <c r="AG101" s="232">
        <f>COUNTIF(Workflows!$U$4:$U$4024,"&lt;="&amp;AF101)</f>
        <v>18</v>
      </c>
    </row>
    <row r="102" spans="32:33" x14ac:dyDescent="0.25">
      <c r="AF102" s="272">
        <v>43046</v>
      </c>
      <c r="AG102" s="232">
        <f>COUNTIF(Workflows!$U$4:$U$4024,"&lt;="&amp;AF102)</f>
        <v>18</v>
      </c>
    </row>
    <row r="103" spans="32:33" x14ac:dyDescent="0.25">
      <c r="AF103" s="272">
        <v>43047</v>
      </c>
      <c r="AG103" s="232">
        <f>COUNTIF(Workflows!$U$4:$U$4024,"&lt;="&amp;AF103)</f>
        <v>18</v>
      </c>
    </row>
    <row r="104" spans="32:33" x14ac:dyDescent="0.25">
      <c r="AF104" s="272">
        <v>43048</v>
      </c>
      <c r="AG104" s="232">
        <f>COUNTIF(Workflows!$U$4:$U$4024,"&lt;="&amp;AF104)</f>
        <v>18</v>
      </c>
    </row>
    <row r="105" spans="32:33" x14ac:dyDescent="0.25">
      <c r="AF105" s="272">
        <v>43049</v>
      </c>
      <c r="AG105" s="232">
        <f>COUNTIF(Workflows!$U$4:$U$4024,"&lt;="&amp;AF105)</f>
        <v>18</v>
      </c>
    </row>
    <row r="106" spans="32:33" x14ac:dyDescent="0.25">
      <c r="AF106" s="272">
        <v>43050</v>
      </c>
      <c r="AG106" s="232">
        <f>COUNTIF(Workflows!$U$4:$U$4024,"&lt;="&amp;AF106)</f>
        <v>18</v>
      </c>
    </row>
    <row r="107" spans="32:33" x14ac:dyDescent="0.25">
      <c r="AF107" s="272">
        <v>43051</v>
      </c>
      <c r="AG107" s="232">
        <f>COUNTIF(Workflows!$U$4:$U$4024,"&lt;="&amp;AF107)</f>
        <v>18</v>
      </c>
    </row>
    <row r="108" spans="32:33" x14ac:dyDescent="0.25">
      <c r="AF108" s="272">
        <v>43052</v>
      </c>
      <c r="AG108" s="232">
        <f>COUNTIF(Workflows!$U$4:$U$4024,"&lt;="&amp;AF108)</f>
        <v>18</v>
      </c>
    </row>
    <row r="109" spans="32:33" x14ac:dyDescent="0.25">
      <c r="AF109" s="272">
        <v>43053</v>
      </c>
      <c r="AG109" s="232">
        <f>COUNTIF(Workflows!$U$4:$U$4024,"&lt;="&amp;AF109)</f>
        <v>20</v>
      </c>
    </row>
    <row r="110" spans="32:33" x14ac:dyDescent="0.25">
      <c r="AF110" s="272">
        <v>43054</v>
      </c>
      <c r="AG110" s="232">
        <f>COUNTIF(Workflows!$U$4:$U$4024,"&lt;="&amp;AF110)</f>
        <v>20</v>
      </c>
    </row>
    <row r="111" spans="32:33" x14ac:dyDescent="0.25">
      <c r="AF111" s="272">
        <v>43055</v>
      </c>
      <c r="AG111" s="232">
        <f>COUNTIF(Workflows!$U$4:$U$4024,"&lt;="&amp;AF111)</f>
        <v>20</v>
      </c>
    </row>
    <row r="112" spans="32:33" x14ac:dyDescent="0.25">
      <c r="AF112" s="272">
        <v>43056</v>
      </c>
      <c r="AG112" s="232">
        <f>COUNTIF(Workflows!$U$4:$U$4024,"&lt;="&amp;AF112)</f>
        <v>20</v>
      </c>
    </row>
    <row r="113" spans="32:33" x14ac:dyDescent="0.25">
      <c r="AF113" s="272">
        <v>43057</v>
      </c>
      <c r="AG113" s="232">
        <f>COUNTIF(Workflows!$U$4:$U$4024,"&lt;="&amp;AF113)</f>
        <v>20</v>
      </c>
    </row>
    <row r="114" spans="32:33" x14ac:dyDescent="0.25">
      <c r="AF114" s="272">
        <v>43058</v>
      </c>
      <c r="AG114" s="232">
        <f>COUNTIF(Workflows!$U$4:$U$4024,"&lt;="&amp;AF114)</f>
        <v>20</v>
      </c>
    </row>
    <row r="115" spans="32:33" x14ac:dyDescent="0.25">
      <c r="AF115" s="272">
        <v>43059</v>
      </c>
      <c r="AG115" s="232">
        <f>COUNTIF(Workflows!$U$4:$U$4024,"&lt;="&amp;AF115)</f>
        <v>20</v>
      </c>
    </row>
    <row r="116" spans="32:33" x14ac:dyDescent="0.25">
      <c r="AF116" s="272">
        <v>43060</v>
      </c>
      <c r="AG116" s="232">
        <f>COUNTIF(Workflows!$U$4:$U$4024,"&lt;="&amp;AF116)</f>
        <v>20</v>
      </c>
    </row>
    <row r="117" spans="32:33" x14ac:dyDescent="0.25">
      <c r="AF117" s="272">
        <v>43061</v>
      </c>
      <c r="AG117" s="232">
        <f>COUNTIF(Workflows!$U$4:$U$4024,"&lt;="&amp;AF117)</f>
        <v>21</v>
      </c>
    </row>
    <row r="118" spans="32:33" x14ac:dyDescent="0.25">
      <c r="AF118" s="272">
        <v>43062</v>
      </c>
      <c r="AG118" s="232">
        <f>COUNTIF(Workflows!$U$4:$U$4024,"&lt;="&amp;AF118)</f>
        <v>22</v>
      </c>
    </row>
    <row r="119" spans="32:33" x14ac:dyDescent="0.25">
      <c r="AF119" s="272">
        <v>43063</v>
      </c>
      <c r="AG119" s="232">
        <f>COUNTIF(Workflows!$U$4:$U$4024,"&lt;="&amp;AF119)</f>
        <v>22</v>
      </c>
    </row>
    <row r="120" spans="32:33" x14ac:dyDescent="0.25">
      <c r="AF120" s="272">
        <v>43064</v>
      </c>
      <c r="AG120" s="232">
        <f>COUNTIF(Workflows!$U$4:$U$4024,"&lt;="&amp;AF120)</f>
        <v>22</v>
      </c>
    </row>
    <row r="121" spans="32:33" x14ac:dyDescent="0.25">
      <c r="AF121" s="272">
        <v>43065</v>
      </c>
      <c r="AG121" s="232">
        <f>COUNTIF(Workflows!$U$4:$U$4024,"&lt;="&amp;AF121)</f>
        <v>22</v>
      </c>
    </row>
    <row r="122" spans="32:33" x14ac:dyDescent="0.25">
      <c r="AF122" s="272">
        <v>43066</v>
      </c>
      <c r="AG122" s="232">
        <f>COUNTIF(Workflows!$U$4:$U$4024,"&lt;="&amp;AF122)</f>
        <v>22</v>
      </c>
    </row>
    <row r="123" spans="32:33" x14ac:dyDescent="0.25">
      <c r="AF123" s="272">
        <v>43067</v>
      </c>
      <c r="AG123" s="232">
        <f>COUNTIF(Workflows!$U$4:$U$4024,"&lt;="&amp;AF123)</f>
        <v>24</v>
      </c>
    </row>
    <row r="124" spans="32:33" x14ac:dyDescent="0.25">
      <c r="AF124" s="272">
        <v>43068</v>
      </c>
      <c r="AG124" s="232">
        <f>COUNTIF(Workflows!$U$4:$U$4024,"&lt;="&amp;AF124)</f>
        <v>24</v>
      </c>
    </row>
    <row r="125" spans="32:33" x14ac:dyDescent="0.25">
      <c r="AF125" s="272">
        <v>43069</v>
      </c>
      <c r="AG125" s="232">
        <f>COUNTIF(Workflows!$U$4:$U$4024,"&lt;="&amp;AF125)</f>
        <v>24</v>
      </c>
    </row>
    <row r="126" spans="32:33" x14ac:dyDescent="0.25">
      <c r="AF126" s="272">
        <v>43070</v>
      </c>
      <c r="AG126" s="232">
        <f>COUNTIF(Workflows!$U$4:$U$4024,"&lt;="&amp;AF126)</f>
        <v>24</v>
      </c>
    </row>
    <row r="127" spans="32:33" x14ac:dyDescent="0.25">
      <c r="AF127" s="272">
        <v>43071</v>
      </c>
      <c r="AG127" s="232">
        <f>COUNTIF(Workflows!$U$4:$U$4024,"&lt;="&amp;AF127)</f>
        <v>24</v>
      </c>
    </row>
    <row r="128" spans="32:33" x14ac:dyDescent="0.25">
      <c r="AF128" s="272">
        <v>43072</v>
      </c>
      <c r="AG128" s="232">
        <f>COUNTIF(Workflows!$U$4:$U$4024,"&lt;="&amp;AF128)</f>
        <v>25</v>
      </c>
    </row>
    <row r="129" spans="32:33" x14ac:dyDescent="0.25">
      <c r="AF129" s="272">
        <v>43073</v>
      </c>
      <c r="AG129" s="232">
        <f>COUNTIF(Workflows!$U$4:$U$4024,"&lt;="&amp;AF129)</f>
        <v>25</v>
      </c>
    </row>
    <row r="130" spans="32:33" x14ac:dyDescent="0.25">
      <c r="AF130" s="272">
        <v>43074</v>
      </c>
      <c r="AG130" s="232">
        <f>COUNTIF(Workflows!$U$4:$U$4024,"&lt;="&amp;AF130)</f>
        <v>25</v>
      </c>
    </row>
    <row r="131" spans="32:33" x14ac:dyDescent="0.25">
      <c r="AF131" s="272">
        <v>43075</v>
      </c>
      <c r="AG131" s="232">
        <f>COUNTIF(Workflows!$U$4:$U$4024,"&lt;="&amp;AF131)</f>
        <v>25</v>
      </c>
    </row>
    <row r="132" spans="32:33" x14ac:dyDescent="0.25">
      <c r="AF132" s="272">
        <v>43076</v>
      </c>
      <c r="AG132" s="232">
        <f>COUNTIF(Workflows!$U$4:$U$4024,"&lt;="&amp;AF132)</f>
        <v>25</v>
      </c>
    </row>
    <row r="133" spans="32:33" x14ac:dyDescent="0.25">
      <c r="AF133" s="272">
        <v>43077</v>
      </c>
      <c r="AG133" s="232">
        <f>COUNTIF(Workflows!$U$4:$U$4024,"&lt;="&amp;AF133)</f>
        <v>25</v>
      </c>
    </row>
    <row r="134" spans="32:33" x14ac:dyDescent="0.25">
      <c r="AF134" s="272">
        <v>43078</v>
      </c>
      <c r="AG134" s="232">
        <f>COUNTIF(Workflows!$U$4:$U$4024,"&lt;="&amp;AF134)</f>
        <v>25</v>
      </c>
    </row>
    <row r="135" spans="32:33" x14ac:dyDescent="0.25">
      <c r="AF135" s="272">
        <v>43079</v>
      </c>
      <c r="AG135" s="232">
        <f>COUNTIF(Workflows!$U$4:$U$4024,"&lt;="&amp;AF135)</f>
        <v>25</v>
      </c>
    </row>
    <row r="136" spans="32:33" x14ac:dyDescent="0.25">
      <c r="AF136" s="272">
        <v>43080</v>
      </c>
      <c r="AG136" s="232">
        <f>COUNTIF(Workflows!$U$4:$U$4024,"&lt;="&amp;AF136)</f>
        <v>25</v>
      </c>
    </row>
    <row r="137" spans="32:33" x14ac:dyDescent="0.25">
      <c r="AF137" s="272">
        <v>43081</v>
      </c>
      <c r="AG137" s="232">
        <f>COUNTIF(Workflows!$U$4:$U$4024,"&lt;="&amp;AF137)</f>
        <v>25</v>
      </c>
    </row>
    <row r="138" spans="32:33" x14ac:dyDescent="0.25">
      <c r="AF138" s="272">
        <v>43082</v>
      </c>
      <c r="AG138" s="232">
        <f>COUNTIF(Workflows!$U$4:$U$4024,"&lt;="&amp;AF138)</f>
        <v>25</v>
      </c>
    </row>
    <row r="139" spans="32:33" x14ac:dyDescent="0.25">
      <c r="AF139" s="272">
        <v>43083</v>
      </c>
      <c r="AG139" s="232">
        <f>COUNTIF(Workflows!$U$4:$U$4024,"&lt;="&amp;AF139)</f>
        <v>25</v>
      </c>
    </row>
    <row r="140" spans="32:33" x14ac:dyDescent="0.25">
      <c r="AF140" s="272">
        <v>43084</v>
      </c>
      <c r="AG140" s="232">
        <f>COUNTIF(Workflows!$U$4:$U$4024,"&lt;="&amp;AF140)</f>
        <v>25</v>
      </c>
    </row>
    <row r="141" spans="32:33" x14ac:dyDescent="0.25">
      <c r="AF141" s="272">
        <v>43085</v>
      </c>
      <c r="AG141" s="232">
        <f>COUNTIF(Workflows!$U$4:$U$4024,"&lt;="&amp;AF141)</f>
        <v>25</v>
      </c>
    </row>
    <row r="142" spans="32:33" x14ac:dyDescent="0.25">
      <c r="AF142" s="272">
        <v>43086</v>
      </c>
      <c r="AG142" s="232">
        <f>COUNTIF(Workflows!$U$4:$U$4024,"&lt;="&amp;AF142)</f>
        <v>25</v>
      </c>
    </row>
    <row r="143" spans="32:33" x14ac:dyDescent="0.25">
      <c r="AF143" s="272">
        <v>43087</v>
      </c>
      <c r="AG143" s="232">
        <f>COUNTIF(Workflows!$U$4:$U$4024,"&lt;="&amp;AF143)</f>
        <v>25</v>
      </c>
    </row>
    <row r="144" spans="32:33" x14ac:dyDescent="0.25">
      <c r="AF144" s="272">
        <v>43088</v>
      </c>
      <c r="AG144" s="232">
        <f>COUNTIF(Workflows!$U$4:$U$4024,"&lt;="&amp;AF144)</f>
        <v>25</v>
      </c>
    </row>
    <row r="145" spans="32:33" x14ac:dyDescent="0.25">
      <c r="AF145" s="272">
        <v>43089</v>
      </c>
      <c r="AG145" s="232">
        <f>COUNTIF(Workflows!$U$4:$U$4024,"&lt;="&amp;AF145)</f>
        <v>27</v>
      </c>
    </row>
    <row r="146" spans="32:33" x14ac:dyDescent="0.25">
      <c r="AF146" s="272">
        <v>43090</v>
      </c>
      <c r="AG146" s="232">
        <f>COUNTIF(Workflows!$U$4:$U$4024,"&lt;="&amp;AF146)</f>
        <v>27</v>
      </c>
    </row>
    <row r="147" spans="32:33" x14ac:dyDescent="0.25">
      <c r="AF147" s="272">
        <v>43091</v>
      </c>
      <c r="AG147" s="232">
        <f>COUNTIF(Workflows!$U$4:$U$4024,"&lt;="&amp;AF147)</f>
        <v>27</v>
      </c>
    </row>
    <row r="148" spans="32:33" x14ac:dyDescent="0.25">
      <c r="AF148" s="272">
        <v>43092</v>
      </c>
      <c r="AG148" s="232">
        <f>COUNTIF(Workflows!$U$4:$U$4024,"&lt;="&amp;AF148)</f>
        <v>27</v>
      </c>
    </row>
    <row r="149" spans="32:33" x14ac:dyDescent="0.25">
      <c r="AF149" s="272">
        <v>43093</v>
      </c>
      <c r="AG149" s="232">
        <f>COUNTIF(Workflows!$U$4:$U$4024,"&lt;="&amp;AF149)</f>
        <v>27</v>
      </c>
    </row>
    <row r="150" spans="32:33" x14ac:dyDescent="0.25">
      <c r="AF150" s="272">
        <v>43094</v>
      </c>
      <c r="AG150" s="232">
        <f>COUNTIF(Workflows!$U$4:$U$4024,"&lt;="&amp;AF150)</f>
        <v>27</v>
      </c>
    </row>
    <row r="151" spans="32:33" x14ac:dyDescent="0.25">
      <c r="AF151" s="272">
        <v>43095</v>
      </c>
      <c r="AG151" s="232">
        <f>COUNTIF(Workflows!$U$4:$U$4024,"&lt;="&amp;AF151)</f>
        <v>28</v>
      </c>
    </row>
    <row r="152" spans="32:33" x14ac:dyDescent="0.25">
      <c r="AF152" s="272">
        <v>43096</v>
      </c>
      <c r="AG152" s="232">
        <f>COUNTIF(Workflows!$U$4:$U$4024,"&lt;="&amp;AF152)</f>
        <v>29</v>
      </c>
    </row>
    <row r="153" spans="32:33" x14ac:dyDescent="0.25">
      <c r="AF153" s="272">
        <v>43097</v>
      </c>
      <c r="AG153" s="232">
        <f>COUNTIF(Workflows!$U$4:$U$4024,"&lt;="&amp;AF153)</f>
        <v>29</v>
      </c>
    </row>
    <row r="154" spans="32:33" x14ac:dyDescent="0.25">
      <c r="AF154" s="272">
        <v>43098</v>
      </c>
      <c r="AG154" s="232">
        <f>COUNTIF(Workflows!$U$4:$U$4024,"&lt;="&amp;AF154)</f>
        <v>29</v>
      </c>
    </row>
    <row r="155" spans="32:33" x14ac:dyDescent="0.25">
      <c r="AF155" s="272">
        <v>43099</v>
      </c>
      <c r="AG155" s="232">
        <f>COUNTIF(Workflows!$U$4:$U$4024,"&lt;="&amp;AF155)</f>
        <v>29</v>
      </c>
    </row>
    <row r="156" spans="32:33" x14ac:dyDescent="0.25">
      <c r="AF156" s="272">
        <v>43100</v>
      </c>
      <c r="AG156" s="232">
        <f>COUNTIF(Workflows!$U$4:$U$4024,"&lt;="&amp;AF156)</f>
        <v>29</v>
      </c>
    </row>
    <row r="157" spans="32:33" x14ac:dyDescent="0.25">
      <c r="AF157" s="272">
        <v>43101</v>
      </c>
      <c r="AG157" s="232">
        <f>COUNTIF(Workflows!$U$4:$U$4024,"&lt;="&amp;AF157)</f>
        <v>29</v>
      </c>
    </row>
    <row r="158" spans="32:33" x14ac:dyDescent="0.25">
      <c r="AF158" s="272">
        <v>43102</v>
      </c>
      <c r="AG158" s="232">
        <f>COUNTIF(Workflows!$U$4:$U$4024,"&lt;="&amp;AF158)</f>
        <v>29</v>
      </c>
    </row>
    <row r="159" spans="32:33" x14ac:dyDescent="0.25">
      <c r="AF159" s="272">
        <v>43103</v>
      </c>
      <c r="AG159" s="232">
        <f>COUNTIF(Workflows!$U$4:$U$4024,"&lt;="&amp;AF159)</f>
        <v>29</v>
      </c>
    </row>
    <row r="160" spans="32:33" x14ac:dyDescent="0.25">
      <c r="AF160" s="272">
        <v>43104</v>
      </c>
      <c r="AG160" s="232">
        <f>COUNTIF(Workflows!$U$4:$U$4024,"&lt;="&amp;AF160)</f>
        <v>29</v>
      </c>
    </row>
    <row r="161" spans="32:33" x14ac:dyDescent="0.25">
      <c r="AF161" s="272">
        <v>43105</v>
      </c>
      <c r="AG161" s="232">
        <f>COUNTIF(Workflows!$U$4:$U$4024,"&lt;="&amp;AF161)</f>
        <v>29</v>
      </c>
    </row>
    <row r="162" spans="32:33" x14ac:dyDescent="0.25">
      <c r="AF162" s="272">
        <v>43106</v>
      </c>
      <c r="AG162" s="232">
        <f>COUNTIF(Workflows!$U$4:$U$4024,"&lt;="&amp;AF162)</f>
        <v>29</v>
      </c>
    </row>
    <row r="163" spans="32:33" x14ac:dyDescent="0.25">
      <c r="AF163" s="272">
        <v>43107</v>
      </c>
      <c r="AG163" s="232">
        <f>COUNTIF(Workflows!$U$4:$U$4024,"&lt;="&amp;AF163)</f>
        <v>29</v>
      </c>
    </row>
    <row r="164" spans="32:33" x14ac:dyDescent="0.25">
      <c r="AF164" s="272">
        <v>43108</v>
      </c>
      <c r="AG164" s="232">
        <f>COUNTIF(Workflows!$U$4:$U$4024,"&lt;="&amp;AF164)</f>
        <v>29</v>
      </c>
    </row>
    <row r="165" spans="32:33" x14ac:dyDescent="0.25">
      <c r="AF165" s="272">
        <v>43109</v>
      </c>
      <c r="AG165" s="232">
        <f>COUNTIF(Workflows!$U$4:$U$4024,"&lt;="&amp;AF165)</f>
        <v>29</v>
      </c>
    </row>
    <row r="166" spans="32:33" x14ac:dyDescent="0.25">
      <c r="AF166" s="272">
        <v>43110</v>
      </c>
      <c r="AG166" s="232">
        <f>COUNTIF(Workflows!$U$4:$U$4024,"&lt;="&amp;AF166)</f>
        <v>29</v>
      </c>
    </row>
    <row r="167" spans="32:33" x14ac:dyDescent="0.25">
      <c r="AF167" s="272">
        <v>43111</v>
      </c>
      <c r="AG167" s="232">
        <f>COUNTIF(Workflows!$U$4:$U$4024,"&lt;="&amp;AF167)</f>
        <v>29</v>
      </c>
    </row>
    <row r="168" spans="32:33" x14ac:dyDescent="0.25">
      <c r="AF168" s="272">
        <v>43112</v>
      </c>
      <c r="AG168" s="232">
        <f>COUNTIF(Workflows!$U$4:$U$4024,"&lt;="&amp;AF168)</f>
        <v>29</v>
      </c>
    </row>
    <row r="169" spans="32:33" x14ac:dyDescent="0.25">
      <c r="AF169" s="272">
        <v>43113</v>
      </c>
      <c r="AG169" s="232">
        <f>COUNTIF(Workflows!$U$4:$U$4024,"&lt;="&amp;AF169)</f>
        <v>29</v>
      </c>
    </row>
    <row r="170" spans="32:33" x14ac:dyDescent="0.25">
      <c r="AF170" s="272">
        <v>43114</v>
      </c>
      <c r="AG170" s="232">
        <f>COUNTIF(Workflows!$U$4:$U$4024,"&lt;="&amp;AF170)</f>
        <v>29</v>
      </c>
    </row>
    <row r="171" spans="32:33" x14ac:dyDescent="0.25">
      <c r="AF171" s="272">
        <v>43115</v>
      </c>
      <c r="AG171" s="232">
        <f>COUNTIF(Workflows!$U$4:$U$4024,"&lt;="&amp;AF171)</f>
        <v>30</v>
      </c>
    </row>
    <row r="172" spans="32:33" x14ac:dyDescent="0.25">
      <c r="AF172" s="272">
        <v>43116</v>
      </c>
      <c r="AG172" s="232">
        <f>COUNTIF(Workflows!$U$4:$U$4024,"&lt;="&amp;AF172)</f>
        <v>30</v>
      </c>
    </row>
    <row r="173" spans="32:33" x14ac:dyDescent="0.25">
      <c r="AF173" s="272">
        <v>43117</v>
      </c>
      <c r="AG173" s="232">
        <f>COUNTIF(Workflows!$U$4:$U$4024,"&lt;="&amp;AF173)</f>
        <v>30</v>
      </c>
    </row>
    <row r="174" spans="32:33" x14ac:dyDescent="0.25">
      <c r="AF174" s="272">
        <v>43118</v>
      </c>
      <c r="AG174" s="232">
        <f>COUNTIF(Workflows!$U$4:$U$4024,"&lt;="&amp;AF174)</f>
        <v>30</v>
      </c>
    </row>
    <row r="175" spans="32:33" x14ac:dyDescent="0.25">
      <c r="AF175" s="272">
        <v>43119</v>
      </c>
      <c r="AG175" s="232">
        <f>COUNTIF(Workflows!$U$4:$U$4024,"&lt;="&amp;AF175)</f>
        <v>30</v>
      </c>
    </row>
    <row r="176" spans="32:33" x14ac:dyDescent="0.25">
      <c r="AF176" s="272">
        <v>43120</v>
      </c>
      <c r="AG176" s="232">
        <f>COUNTIF(Workflows!$U$4:$U$4024,"&lt;="&amp;AF176)</f>
        <v>30</v>
      </c>
    </row>
    <row r="177" spans="32:33" x14ac:dyDescent="0.25">
      <c r="AF177" s="272">
        <v>43121</v>
      </c>
      <c r="AG177" s="232">
        <f>COUNTIF(Workflows!$U$4:$U$4024,"&lt;="&amp;AF177)</f>
        <v>30</v>
      </c>
    </row>
    <row r="178" spans="32:33" x14ac:dyDescent="0.25">
      <c r="AF178" s="272">
        <v>43122</v>
      </c>
      <c r="AG178" s="232">
        <f>COUNTIF(Workflows!$U$4:$U$4024,"&lt;="&amp;AF178)</f>
        <v>30</v>
      </c>
    </row>
    <row r="179" spans="32:33" x14ac:dyDescent="0.25">
      <c r="AF179" s="272">
        <v>43123</v>
      </c>
      <c r="AG179" s="232">
        <f>COUNTIF(Workflows!$U$4:$U$4024,"&lt;="&amp;AF179)</f>
        <v>31</v>
      </c>
    </row>
    <row r="180" spans="32:33" x14ac:dyDescent="0.25">
      <c r="AF180" s="272">
        <v>43124</v>
      </c>
      <c r="AG180" s="232">
        <f>COUNTIF(Workflows!$U$4:$U$4024,"&lt;="&amp;AF180)</f>
        <v>31</v>
      </c>
    </row>
    <row r="181" spans="32:33" x14ac:dyDescent="0.25">
      <c r="AF181" s="272">
        <v>43125</v>
      </c>
      <c r="AG181" s="232">
        <f>COUNTIF(Workflows!$U$4:$U$4024,"&lt;="&amp;AF181)</f>
        <v>32</v>
      </c>
    </row>
    <row r="182" spans="32:33" x14ac:dyDescent="0.25">
      <c r="AF182" s="272">
        <v>43126</v>
      </c>
      <c r="AG182" s="232">
        <f>COUNTIF(Workflows!$U$4:$U$4024,"&lt;="&amp;AF182)</f>
        <v>32</v>
      </c>
    </row>
    <row r="183" spans="32:33" x14ac:dyDescent="0.25">
      <c r="AF183" s="272">
        <v>43127</v>
      </c>
      <c r="AG183" s="232">
        <f>COUNTIF(Workflows!$U$4:$U$4024,"&lt;="&amp;AF183)</f>
        <v>32</v>
      </c>
    </row>
    <row r="184" spans="32:33" x14ac:dyDescent="0.25">
      <c r="AF184" s="272">
        <v>43128</v>
      </c>
      <c r="AG184" s="232">
        <f>COUNTIF(Workflows!$U$4:$U$4024,"&lt;="&amp;AF184)</f>
        <v>32</v>
      </c>
    </row>
    <row r="185" spans="32:33" x14ac:dyDescent="0.25">
      <c r="AF185" s="272">
        <v>43129</v>
      </c>
      <c r="AG185" s="232">
        <f>COUNTIF(Workflows!$U$4:$U$4024,"&lt;="&amp;AF185)</f>
        <v>32</v>
      </c>
    </row>
    <row r="186" spans="32:33" x14ac:dyDescent="0.25">
      <c r="AF186" s="272">
        <v>43130</v>
      </c>
      <c r="AG186" s="232">
        <f>COUNTIF(Workflows!$U$4:$U$4024,"&lt;="&amp;AF186)</f>
        <v>32</v>
      </c>
    </row>
    <row r="187" spans="32:33" x14ac:dyDescent="0.25">
      <c r="AF187" s="272">
        <v>43131</v>
      </c>
      <c r="AG187" s="232">
        <f>COUNTIF(Workflows!$U$4:$U$4024,"&lt;="&amp;AF187)</f>
        <v>32</v>
      </c>
    </row>
    <row r="188" spans="32:33" x14ac:dyDescent="0.25">
      <c r="AF188" s="272">
        <v>43132</v>
      </c>
      <c r="AG188" s="232">
        <f>COUNTIF(Workflows!$U$4:$U$4024,"&lt;="&amp;AF188)</f>
        <v>32</v>
      </c>
    </row>
    <row r="189" spans="32:33" x14ac:dyDescent="0.25">
      <c r="AF189" s="272">
        <v>43133</v>
      </c>
      <c r="AG189" s="232">
        <f>COUNTIF(Workflows!$U$4:$U$4024,"&lt;="&amp;AF189)</f>
        <v>32</v>
      </c>
    </row>
    <row r="190" spans="32:33" x14ac:dyDescent="0.25">
      <c r="AF190" s="272">
        <v>43134</v>
      </c>
      <c r="AG190" s="232">
        <f>COUNTIF(Workflows!$U$4:$U$4024,"&lt;="&amp;AF190)</f>
        <v>32</v>
      </c>
    </row>
    <row r="191" spans="32:33" x14ac:dyDescent="0.25">
      <c r="AF191" s="272">
        <v>43135</v>
      </c>
      <c r="AG191" s="232">
        <f>COUNTIF(Workflows!$U$4:$U$4024,"&lt;="&amp;AF191)</f>
        <v>32</v>
      </c>
    </row>
    <row r="192" spans="32:33" x14ac:dyDescent="0.25">
      <c r="AF192" s="272">
        <v>43136</v>
      </c>
      <c r="AG192" s="232">
        <f>COUNTIF(Workflows!$U$4:$U$4024,"&lt;="&amp;AF192)</f>
        <v>32</v>
      </c>
    </row>
    <row r="193" spans="32:33" x14ac:dyDescent="0.25">
      <c r="AF193" s="272">
        <v>43137</v>
      </c>
      <c r="AG193" s="232">
        <f>COUNTIF(Workflows!$U$4:$U$4024,"&lt;="&amp;AF193)</f>
        <v>32</v>
      </c>
    </row>
    <row r="194" spans="32:33" x14ac:dyDescent="0.25">
      <c r="AF194" s="272">
        <v>43138</v>
      </c>
      <c r="AG194" s="232">
        <f>COUNTIF(Workflows!$U$4:$U$4024,"&lt;="&amp;AF194)</f>
        <v>33</v>
      </c>
    </row>
    <row r="195" spans="32:33" x14ac:dyDescent="0.25">
      <c r="AF195" s="272">
        <v>43139</v>
      </c>
      <c r="AG195" s="232">
        <f>COUNTIF(Workflows!$U$4:$U$4024,"&lt;="&amp;AF195)</f>
        <v>33</v>
      </c>
    </row>
    <row r="196" spans="32:33" x14ac:dyDescent="0.25">
      <c r="AF196" s="272">
        <v>43140</v>
      </c>
      <c r="AG196" s="232">
        <f>COUNTIF(Workflows!$U$4:$U$4024,"&lt;="&amp;AF196)</f>
        <v>33</v>
      </c>
    </row>
    <row r="197" spans="32:33" x14ac:dyDescent="0.25">
      <c r="AF197" s="272">
        <v>43141</v>
      </c>
      <c r="AG197" s="232">
        <f>COUNTIF(Workflows!$U$4:$U$4024,"&lt;="&amp;AF197)</f>
        <v>33</v>
      </c>
    </row>
    <row r="198" spans="32:33" x14ac:dyDescent="0.25">
      <c r="AF198" s="272">
        <v>43142</v>
      </c>
      <c r="AG198" s="232">
        <f>COUNTIF(Workflows!$U$4:$U$4024,"&lt;="&amp;AF198)</f>
        <v>33</v>
      </c>
    </row>
    <row r="199" spans="32:33" x14ac:dyDescent="0.25">
      <c r="AF199" s="272">
        <v>43143</v>
      </c>
      <c r="AG199" s="232">
        <f>COUNTIF(Workflows!$U$4:$U$4024,"&lt;="&amp;AF199)</f>
        <v>33</v>
      </c>
    </row>
    <row r="200" spans="32:33" x14ac:dyDescent="0.25">
      <c r="AF200" s="272">
        <v>43144</v>
      </c>
      <c r="AG200" s="232">
        <f>COUNTIF(Workflows!$U$4:$U$4024,"&lt;="&amp;AF200)</f>
        <v>33</v>
      </c>
    </row>
    <row r="201" spans="32:33" x14ac:dyDescent="0.25">
      <c r="AF201" s="272">
        <v>43145</v>
      </c>
      <c r="AG201" s="232">
        <f>COUNTIF(Workflows!$U$4:$U$4024,"&lt;="&amp;AF201)</f>
        <v>33</v>
      </c>
    </row>
    <row r="202" spans="32:33" x14ac:dyDescent="0.25">
      <c r="AF202" s="272">
        <v>43146</v>
      </c>
      <c r="AG202" s="232">
        <f>COUNTIF(Workflows!$U$4:$U$4024,"&lt;="&amp;AF202)</f>
        <v>33</v>
      </c>
    </row>
    <row r="203" spans="32:33" x14ac:dyDescent="0.25">
      <c r="AF203" s="272">
        <v>43147</v>
      </c>
      <c r="AG203" s="232">
        <f>COUNTIF(Workflows!$U$4:$U$4024,"&lt;="&amp;AF203)</f>
        <v>33</v>
      </c>
    </row>
    <row r="204" spans="32:33" x14ac:dyDescent="0.25">
      <c r="AF204" s="272">
        <v>43148</v>
      </c>
      <c r="AG204" s="232">
        <f>COUNTIF(Workflows!$U$4:$U$4024,"&lt;="&amp;AF204)</f>
        <v>33</v>
      </c>
    </row>
    <row r="205" spans="32:33" x14ac:dyDescent="0.25">
      <c r="AF205" s="272">
        <v>43149</v>
      </c>
      <c r="AG205" s="232">
        <f>COUNTIF(Workflows!$U$4:$U$4024,"&lt;="&amp;AF205)</f>
        <v>33</v>
      </c>
    </row>
    <row r="206" spans="32:33" x14ac:dyDescent="0.25">
      <c r="AF206" s="272">
        <v>43150</v>
      </c>
      <c r="AG206" s="232">
        <f>COUNTIF(Workflows!$U$4:$U$4024,"&lt;="&amp;AF206)</f>
        <v>33</v>
      </c>
    </row>
    <row r="207" spans="32:33" x14ac:dyDescent="0.25">
      <c r="AF207" s="272">
        <v>43151</v>
      </c>
      <c r="AG207" s="232">
        <f>COUNTIF(Workflows!$U$4:$U$4024,"&lt;="&amp;AF207)</f>
        <v>33</v>
      </c>
    </row>
    <row r="208" spans="32:33" x14ac:dyDescent="0.25">
      <c r="AF208" s="272">
        <v>43152</v>
      </c>
      <c r="AG208" s="232">
        <f>COUNTIF(Workflows!$U$4:$U$4024,"&lt;="&amp;AF208)</f>
        <v>33</v>
      </c>
    </row>
    <row r="209" spans="32:33" x14ac:dyDescent="0.25">
      <c r="AF209" s="272">
        <v>43153</v>
      </c>
      <c r="AG209" s="232">
        <f>COUNTIF(Workflows!$U$4:$U$4024,"&lt;="&amp;AF209)</f>
        <v>33</v>
      </c>
    </row>
    <row r="210" spans="32:33" x14ac:dyDescent="0.25">
      <c r="AF210" s="272">
        <v>43154</v>
      </c>
      <c r="AG210" s="232">
        <f>COUNTIF(Workflows!$U$4:$U$4024,"&lt;="&amp;AF210)</f>
        <v>33</v>
      </c>
    </row>
    <row r="211" spans="32:33" x14ac:dyDescent="0.25">
      <c r="AF211" s="272">
        <v>43155</v>
      </c>
      <c r="AG211" s="232">
        <f>COUNTIF(Workflows!$U$4:$U$4024,"&lt;="&amp;AF211)</f>
        <v>33</v>
      </c>
    </row>
    <row r="212" spans="32:33" x14ac:dyDescent="0.25">
      <c r="AF212" s="272">
        <v>43156</v>
      </c>
      <c r="AG212" s="232">
        <f>COUNTIF(Workflows!$U$4:$U$4024,"&lt;="&amp;AF212)</f>
        <v>33</v>
      </c>
    </row>
    <row r="213" spans="32:33" x14ac:dyDescent="0.25">
      <c r="AF213" s="272">
        <v>43157</v>
      </c>
      <c r="AG213" s="232">
        <f>COUNTIF(Workflows!$U$4:$U$4024,"&lt;="&amp;AF213)</f>
        <v>33</v>
      </c>
    </row>
    <row r="214" spans="32:33" x14ac:dyDescent="0.25">
      <c r="AF214" s="272">
        <v>43158</v>
      </c>
      <c r="AG214" s="232">
        <f>COUNTIF(Workflows!$U$4:$U$4024,"&lt;="&amp;AF214)</f>
        <v>36</v>
      </c>
    </row>
    <row r="215" spans="32:33" x14ac:dyDescent="0.25">
      <c r="AF215" s="272">
        <v>43159</v>
      </c>
      <c r="AG215" s="232">
        <f>COUNTIF(Workflows!$U$4:$U$4024,"&lt;="&amp;AF215)</f>
        <v>36</v>
      </c>
    </row>
    <row r="216" spans="32:33" x14ac:dyDescent="0.25">
      <c r="AF216" s="272">
        <v>43160</v>
      </c>
      <c r="AG216" s="232">
        <f>COUNTIF(Workflows!$U$4:$U$4024,"&lt;="&amp;AF216)</f>
        <v>36</v>
      </c>
    </row>
    <row r="217" spans="32:33" x14ac:dyDescent="0.25">
      <c r="AF217" s="272">
        <v>43161</v>
      </c>
      <c r="AG217" s="232">
        <f>COUNTIF(Workflows!$U$4:$U$4024,"&lt;="&amp;AF217)</f>
        <v>36</v>
      </c>
    </row>
    <row r="218" spans="32:33" x14ac:dyDescent="0.25">
      <c r="AF218" s="272">
        <v>43162</v>
      </c>
      <c r="AG218" s="232">
        <f>COUNTIF(Workflows!$U$4:$U$4024,"&lt;="&amp;AF218)</f>
        <v>36</v>
      </c>
    </row>
    <row r="219" spans="32:33" x14ac:dyDescent="0.25">
      <c r="AF219" s="272">
        <v>43163</v>
      </c>
      <c r="AG219" s="232">
        <f>COUNTIF(Workflows!$U$4:$U$4024,"&lt;="&amp;AF219)</f>
        <v>36</v>
      </c>
    </row>
    <row r="220" spans="32:33" x14ac:dyDescent="0.25">
      <c r="AF220" s="272">
        <v>43164</v>
      </c>
      <c r="AG220" s="232">
        <f>COUNTIF(Workflows!$U$4:$U$4024,"&lt;="&amp;AF220)</f>
        <v>36</v>
      </c>
    </row>
    <row r="221" spans="32:33" x14ac:dyDescent="0.25">
      <c r="AF221" s="272">
        <v>43165</v>
      </c>
      <c r="AG221" s="232">
        <f>COUNTIF(Workflows!$U$4:$U$4024,"&lt;="&amp;AF221)</f>
        <v>36</v>
      </c>
    </row>
    <row r="222" spans="32:33" x14ac:dyDescent="0.25">
      <c r="AF222" s="272">
        <v>43166</v>
      </c>
      <c r="AG222" s="232">
        <f>COUNTIF(Workflows!$U$4:$U$4024,"&lt;="&amp;AF222)</f>
        <v>36</v>
      </c>
    </row>
    <row r="223" spans="32:33" x14ac:dyDescent="0.25">
      <c r="AF223" s="272">
        <v>43167</v>
      </c>
      <c r="AG223" s="232">
        <f>COUNTIF(Workflows!$U$4:$U$4024,"&lt;="&amp;AF223)</f>
        <v>37</v>
      </c>
    </row>
    <row r="224" spans="32:33" x14ac:dyDescent="0.25">
      <c r="AF224" s="272">
        <v>43168</v>
      </c>
      <c r="AG224" s="232">
        <f>COUNTIF(Workflows!$U$4:$U$4024,"&lt;="&amp;AF224)</f>
        <v>37</v>
      </c>
    </row>
    <row r="225" spans="32:33" x14ac:dyDescent="0.25">
      <c r="AF225" s="272">
        <v>43169</v>
      </c>
      <c r="AG225" s="232">
        <f>COUNTIF(Workflows!$U$4:$U$4024,"&lt;="&amp;AF225)</f>
        <v>37</v>
      </c>
    </row>
    <row r="226" spans="32:33" x14ac:dyDescent="0.25">
      <c r="AF226" s="272">
        <v>43170</v>
      </c>
      <c r="AG226" s="232">
        <f>COUNTIF(Workflows!$U$4:$U$4024,"&lt;="&amp;AF226)</f>
        <v>37</v>
      </c>
    </row>
    <row r="227" spans="32:33" x14ac:dyDescent="0.25">
      <c r="AF227" s="272">
        <v>43171</v>
      </c>
      <c r="AG227" s="232">
        <f>COUNTIF(Workflows!$U$4:$U$4024,"&lt;="&amp;AF227)</f>
        <v>37</v>
      </c>
    </row>
    <row r="228" spans="32:33" x14ac:dyDescent="0.25">
      <c r="AF228" s="272">
        <v>43172</v>
      </c>
      <c r="AG228" s="232">
        <f>COUNTIF(Workflows!$U$4:$U$4024,"&lt;="&amp;AF228)</f>
        <v>37</v>
      </c>
    </row>
    <row r="229" spans="32:33" x14ac:dyDescent="0.25">
      <c r="AF229" s="272">
        <v>43173</v>
      </c>
      <c r="AG229" s="232">
        <f>COUNTIF(Workflows!$U$4:$U$4024,"&lt;="&amp;AF229)</f>
        <v>37</v>
      </c>
    </row>
    <row r="230" spans="32:33" x14ac:dyDescent="0.25">
      <c r="AF230" s="272">
        <v>43174</v>
      </c>
      <c r="AG230" s="232">
        <f>COUNTIF(Workflows!$U$4:$U$4024,"&lt;="&amp;AF230)</f>
        <v>37</v>
      </c>
    </row>
    <row r="231" spans="32:33" x14ac:dyDescent="0.25">
      <c r="AF231" s="272">
        <v>43175</v>
      </c>
      <c r="AG231" s="232">
        <f>COUNTIF(Workflows!$U$4:$U$4024,"&lt;="&amp;AF231)</f>
        <v>37</v>
      </c>
    </row>
    <row r="232" spans="32:33" x14ac:dyDescent="0.25">
      <c r="AF232" s="272">
        <v>43176</v>
      </c>
      <c r="AG232" s="232">
        <f>COUNTIF(Workflows!$U$4:$U$4024,"&lt;="&amp;AF232)</f>
        <v>37</v>
      </c>
    </row>
    <row r="233" spans="32:33" x14ac:dyDescent="0.25">
      <c r="AF233" s="272">
        <v>43177</v>
      </c>
      <c r="AG233" s="232">
        <f>COUNTIF(Workflows!$U$4:$U$4024,"&lt;="&amp;AF233)</f>
        <v>37</v>
      </c>
    </row>
    <row r="234" spans="32:33" x14ac:dyDescent="0.25">
      <c r="AF234" s="272">
        <v>43178</v>
      </c>
      <c r="AG234" s="232">
        <f>COUNTIF(Workflows!$U$4:$U$4024,"&lt;="&amp;AF234)</f>
        <v>37</v>
      </c>
    </row>
    <row r="235" spans="32:33" x14ac:dyDescent="0.25">
      <c r="AF235" s="272">
        <v>43179</v>
      </c>
      <c r="AG235" s="232">
        <f>COUNTIF(Workflows!$U$4:$U$4024,"&lt;="&amp;AF235)</f>
        <v>37</v>
      </c>
    </row>
    <row r="236" spans="32:33" x14ac:dyDescent="0.25">
      <c r="AF236" s="272">
        <v>43180</v>
      </c>
      <c r="AG236" s="232">
        <f>COUNTIF(Workflows!$U$4:$U$4024,"&lt;="&amp;AF236)</f>
        <v>37</v>
      </c>
    </row>
    <row r="237" spans="32:33" x14ac:dyDescent="0.25">
      <c r="AF237" s="272">
        <v>43181</v>
      </c>
      <c r="AG237" s="232">
        <f>COUNTIF(Workflows!$U$4:$U$4024,"&lt;="&amp;AF237)</f>
        <v>37</v>
      </c>
    </row>
    <row r="238" spans="32:33" x14ac:dyDescent="0.25">
      <c r="AF238" s="272">
        <v>43182</v>
      </c>
      <c r="AG238" s="232">
        <f>COUNTIF(Workflows!$U$4:$U$4024,"&lt;="&amp;AF238)</f>
        <v>37</v>
      </c>
    </row>
    <row r="239" spans="32:33" x14ac:dyDescent="0.25">
      <c r="AF239" s="272">
        <v>43183</v>
      </c>
      <c r="AG239" s="232">
        <f>COUNTIF(Workflows!$U$4:$U$4024,"&lt;="&amp;AF239)</f>
        <v>37</v>
      </c>
    </row>
    <row r="240" spans="32:33" x14ac:dyDescent="0.25">
      <c r="AF240" s="272">
        <v>43184</v>
      </c>
      <c r="AG240" s="232">
        <f>COUNTIF(Workflows!$U$4:$U$4024,"&lt;="&amp;AF240)</f>
        <v>37</v>
      </c>
    </row>
    <row r="241" spans="32:33" x14ac:dyDescent="0.25">
      <c r="AF241" s="272">
        <v>43185</v>
      </c>
      <c r="AG241" s="232">
        <f>COUNTIF(Workflows!$U$4:$U$4024,"&lt;="&amp;AF241)</f>
        <v>37</v>
      </c>
    </row>
    <row r="242" spans="32:33" x14ac:dyDescent="0.25">
      <c r="AF242" s="272">
        <v>43186</v>
      </c>
      <c r="AG242" s="232">
        <f>COUNTIF(Workflows!$U$4:$U$4024,"&lt;="&amp;AF242)</f>
        <v>37</v>
      </c>
    </row>
    <row r="243" spans="32:33" x14ac:dyDescent="0.25">
      <c r="AF243" s="272">
        <v>43187</v>
      </c>
      <c r="AG243" s="232">
        <f>COUNTIF(Workflows!$U$4:$U$4024,"&lt;="&amp;AF243)</f>
        <v>37</v>
      </c>
    </row>
    <row r="244" spans="32:33" x14ac:dyDescent="0.25">
      <c r="AF244" s="272">
        <v>43188</v>
      </c>
      <c r="AG244" s="232">
        <f>COUNTIF(Workflows!$U$4:$U$4024,"&lt;="&amp;AF244)</f>
        <v>37</v>
      </c>
    </row>
    <row r="245" spans="32:33" x14ac:dyDescent="0.25">
      <c r="AF245" s="272">
        <v>43189</v>
      </c>
      <c r="AG245" s="232">
        <f>COUNTIF(Workflows!$U$4:$U$4024,"&lt;="&amp;AF245)</f>
        <v>37</v>
      </c>
    </row>
    <row r="246" spans="32:33" x14ac:dyDescent="0.25">
      <c r="AF246" s="272">
        <v>43190</v>
      </c>
      <c r="AG246" s="232">
        <f>COUNTIF(Workflows!$U$4:$U$4024,"&lt;="&amp;AF246)</f>
        <v>37</v>
      </c>
    </row>
    <row r="247" spans="32:33" x14ac:dyDescent="0.25">
      <c r="AF247" s="272">
        <v>43191</v>
      </c>
      <c r="AG247" s="232">
        <f>COUNTIF(Workflows!$U$4:$U$4024,"&lt;="&amp;AF247)</f>
        <v>37</v>
      </c>
    </row>
    <row r="248" spans="32:33" x14ac:dyDescent="0.25">
      <c r="AF248" s="272">
        <v>43192</v>
      </c>
      <c r="AG248" s="232">
        <f>COUNTIF(Workflows!$U$4:$U$4024,"&lt;="&amp;AF248)</f>
        <v>37</v>
      </c>
    </row>
    <row r="249" spans="32:33" x14ac:dyDescent="0.25">
      <c r="AF249" s="272">
        <v>43193</v>
      </c>
      <c r="AG249" s="232">
        <f>COUNTIF(Workflows!$U$4:$U$4024,"&lt;="&amp;AF249)</f>
        <v>37</v>
      </c>
    </row>
    <row r="250" spans="32:33" x14ac:dyDescent="0.25">
      <c r="AF250" s="272">
        <v>43194</v>
      </c>
      <c r="AG250" s="232">
        <f>COUNTIF(Workflows!$U$4:$U$4024,"&lt;="&amp;AF250)</f>
        <v>37</v>
      </c>
    </row>
    <row r="251" spans="32:33" x14ac:dyDescent="0.25">
      <c r="AF251" s="272">
        <v>43195</v>
      </c>
      <c r="AG251" s="232">
        <f>COUNTIF(Workflows!$U$4:$U$4024,"&lt;="&amp;AF251)</f>
        <v>37</v>
      </c>
    </row>
    <row r="252" spans="32:33" x14ac:dyDescent="0.25">
      <c r="AF252" s="272">
        <v>43196</v>
      </c>
      <c r="AG252" s="232">
        <f>COUNTIF(Workflows!$U$4:$U$4024,"&lt;="&amp;AF252)</f>
        <v>37</v>
      </c>
    </row>
    <row r="253" spans="32:33" x14ac:dyDescent="0.25">
      <c r="AF253" s="272">
        <v>43197</v>
      </c>
      <c r="AG253" s="232">
        <f>COUNTIF(Workflows!$U$4:$U$4024,"&lt;="&amp;AF253)</f>
        <v>37</v>
      </c>
    </row>
    <row r="254" spans="32:33" x14ac:dyDescent="0.25">
      <c r="AF254" s="272">
        <v>43198</v>
      </c>
      <c r="AG254" s="232">
        <f>COUNTIF(Workflows!$U$4:$U$4024,"&lt;="&amp;AF254)</f>
        <v>37</v>
      </c>
    </row>
    <row r="255" spans="32:33" x14ac:dyDescent="0.25">
      <c r="AF255" s="272">
        <v>43199</v>
      </c>
      <c r="AG255" s="232">
        <f>COUNTIF(Workflows!$U$4:$U$4024,"&lt;="&amp;AF255)</f>
        <v>37</v>
      </c>
    </row>
    <row r="256" spans="32:33" x14ac:dyDescent="0.25">
      <c r="AF256" s="272">
        <v>43200</v>
      </c>
      <c r="AG256" s="232">
        <f>COUNTIF(Workflows!$U$4:$U$4024,"&lt;="&amp;AF256)</f>
        <v>37</v>
      </c>
    </row>
    <row r="257" spans="32:33" x14ac:dyDescent="0.25">
      <c r="AF257" s="272">
        <v>43201</v>
      </c>
      <c r="AG257" s="232">
        <f>COUNTIF(Workflows!$U$4:$U$4024,"&lt;="&amp;AF257)</f>
        <v>37</v>
      </c>
    </row>
    <row r="258" spans="32:33" x14ac:dyDescent="0.25">
      <c r="AF258" s="272">
        <v>43202</v>
      </c>
      <c r="AG258" s="232">
        <f>COUNTIF(Workflows!$U$4:$U$4024,"&lt;="&amp;AF258)</f>
        <v>37</v>
      </c>
    </row>
    <row r="259" spans="32:33" x14ac:dyDescent="0.25">
      <c r="AF259" s="272">
        <v>43203</v>
      </c>
      <c r="AG259" s="232">
        <f>COUNTIF(Workflows!$U$4:$U$4024,"&lt;="&amp;AF259)</f>
        <v>37</v>
      </c>
    </row>
    <row r="260" spans="32:33" x14ac:dyDescent="0.25">
      <c r="AF260" s="272">
        <v>43204</v>
      </c>
      <c r="AG260" s="232">
        <f>COUNTIF(Workflows!$U$4:$U$4024,"&lt;="&amp;AF260)</f>
        <v>37</v>
      </c>
    </row>
    <row r="261" spans="32:33" x14ac:dyDescent="0.25">
      <c r="AF261" s="272">
        <v>43205</v>
      </c>
      <c r="AG261" s="232">
        <f>COUNTIF(Workflows!$U$4:$U$4024,"&lt;="&amp;AF261)</f>
        <v>37</v>
      </c>
    </row>
    <row r="262" spans="32:33" x14ac:dyDescent="0.25">
      <c r="AF262" s="272">
        <v>43206</v>
      </c>
      <c r="AG262" s="232">
        <f>COUNTIF(Workflows!$U$4:$U$4024,"&lt;="&amp;AF262)</f>
        <v>37</v>
      </c>
    </row>
    <row r="263" spans="32:33" x14ac:dyDescent="0.25">
      <c r="AF263" s="272">
        <v>43207</v>
      </c>
      <c r="AG263" s="232">
        <f>COUNTIF(Workflows!$U$4:$U$4024,"&lt;="&amp;AF263)</f>
        <v>37</v>
      </c>
    </row>
    <row r="264" spans="32:33" x14ac:dyDescent="0.25">
      <c r="AF264" s="272">
        <v>43208</v>
      </c>
      <c r="AG264" s="232">
        <f>COUNTIF(Workflows!$U$4:$U$4024,"&lt;="&amp;AF264)</f>
        <v>37</v>
      </c>
    </row>
    <row r="265" spans="32:33" x14ac:dyDescent="0.25">
      <c r="AF265" s="272">
        <v>43209</v>
      </c>
      <c r="AG265" s="232">
        <f>COUNTIF(Workflows!$U$4:$U$4024,"&lt;="&amp;AF265)</f>
        <v>37</v>
      </c>
    </row>
    <row r="266" spans="32:33" x14ac:dyDescent="0.25">
      <c r="AF266" s="272">
        <v>43210</v>
      </c>
      <c r="AG266" s="232">
        <f>COUNTIF(Workflows!$U$4:$U$4024,"&lt;="&amp;AF266)</f>
        <v>37</v>
      </c>
    </row>
    <row r="267" spans="32:33" x14ac:dyDescent="0.25">
      <c r="AF267" s="272">
        <v>43211</v>
      </c>
      <c r="AG267" s="232">
        <f>COUNTIF(Workflows!$U$4:$U$4024,"&lt;="&amp;AF267)</f>
        <v>37</v>
      </c>
    </row>
    <row r="268" spans="32:33" x14ac:dyDescent="0.25">
      <c r="AF268" s="272">
        <v>43212</v>
      </c>
      <c r="AG268" s="232">
        <f>COUNTIF(Workflows!$U$4:$U$4024,"&lt;="&amp;AF268)</f>
        <v>37</v>
      </c>
    </row>
    <row r="269" spans="32:33" x14ac:dyDescent="0.25">
      <c r="AF269" s="272">
        <v>43213</v>
      </c>
      <c r="AG269" s="232">
        <f>COUNTIF(Workflows!$U$4:$U$4024,"&lt;="&amp;AF269)</f>
        <v>37</v>
      </c>
    </row>
    <row r="270" spans="32:33" x14ac:dyDescent="0.25">
      <c r="AF270" s="272">
        <v>43214</v>
      </c>
      <c r="AG270" s="232">
        <f>COUNTIF(Workflows!$U$4:$U$4024,"&lt;="&amp;AF270)</f>
        <v>37</v>
      </c>
    </row>
    <row r="271" spans="32:33" x14ac:dyDescent="0.25">
      <c r="AF271" s="272">
        <v>43215</v>
      </c>
      <c r="AG271" s="232">
        <f>COUNTIF(Workflows!$U$4:$U$4024,"&lt;="&amp;AF271)</f>
        <v>37</v>
      </c>
    </row>
    <row r="272" spans="32:33" x14ac:dyDescent="0.25">
      <c r="AF272" s="272">
        <v>43216</v>
      </c>
      <c r="AG272" s="232">
        <f>COUNTIF(Workflows!$U$4:$U$4024,"&lt;="&amp;AF272)</f>
        <v>37</v>
      </c>
    </row>
    <row r="273" spans="32:33" x14ac:dyDescent="0.25">
      <c r="AF273" s="272">
        <v>43217</v>
      </c>
      <c r="AG273" s="232">
        <f>COUNTIF(Workflows!$U$4:$U$4024,"&lt;="&amp;AF273)</f>
        <v>37</v>
      </c>
    </row>
    <row r="274" spans="32:33" x14ac:dyDescent="0.25">
      <c r="AF274" s="272">
        <v>43218</v>
      </c>
      <c r="AG274" s="232">
        <f>COUNTIF(Workflows!$U$4:$U$4024,"&lt;="&amp;AF274)</f>
        <v>37</v>
      </c>
    </row>
    <row r="275" spans="32:33" x14ac:dyDescent="0.25">
      <c r="AF275" s="272">
        <v>43219</v>
      </c>
      <c r="AG275" s="232">
        <f>COUNTIF(Workflows!$U$4:$U$4024,"&lt;="&amp;AF275)</f>
        <v>37</v>
      </c>
    </row>
    <row r="276" spans="32:33" x14ac:dyDescent="0.25">
      <c r="AF276" s="272">
        <v>43220</v>
      </c>
      <c r="AG276" s="232">
        <f>COUNTIF(Workflows!$U$4:$U$4024,"&lt;="&amp;AF276)</f>
        <v>37</v>
      </c>
    </row>
    <row r="277" spans="32:33" x14ac:dyDescent="0.25">
      <c r="AF277" s="272">
        <v>43221</v>
      </c>
      <c r="AG277" s="232">
        <f>COUNTIF(Workflows!$U$4:$U$4024,"&lt;="&amp;AF277)</f>
        <v>37</v>
      </c>
    </row>
    <row r="278" spans="32:33" x14ac:dyDescent="0.25">
      <c r="AF278" s="272">
        <v>43222</v>
      </c>
      <c r="AG278" s="232">
        <f>COUNTIF(Workflows!$U$4:$U$4024,"&lt;="&amp;AF278)</f>
        <v>37</v>
      </c>
    </row>
    <row r="279" spans="32:33" x14ac:dyDescent="0.25">
      <c r="AF279" s="272">
        <v>43223</v>
      </c>
      <c r="AG279" s="232">
        <f>COUNTIF(Workflows!$U$4:$U$4024,"&lt;="&amp;AF279)</f>
        <v>37</v>
      </c>
    </row>
    <row r="280" spans="32:33" x14ac:dyDescent="0.25">
      <c r="AF280" s="272">
        <v>43224</v>
      </c>
      <c r="AG280" s="232">
        <f>COUNTIF(Workflows!$U$4:$U$4024,"&lt;="&amp;AF280)</f>
        <v>37</v>
      </c>
    </row>
    <row r="281" spans="32:33" x14ac:dyDescent="0.25">
      <c r="AF281" s="272">
        <v>43225</v>
      </c>
      <c r="AG281" s="232">
        <f>COUNTIF(Workflows!$U$4:$U$4024,"&lt;="&amp;AF281)</f>
        <v>37</v>
      </c>
    </row>
    <row r="282" spans="32:33" x14ac:dyDescent="0.25">
      <c r="AF282" s="272">
        <v>43226</v>
      </c>
      <c r="AG282" s="232">
        <f>COUNTIF(Workflows!$U$4:$U$4024,"&lt;="&amp;AF282)</f>
        <v>37</v>
      </c>
    </row>
    <row r="283" spans="32:33" x14ac:dyDescent="0.25">
      <c r="AF283" s="272">
        <v>43227</v>
      </c>
      <c r="AG283" s="232">
        <f>COUNTIF(Workflows!$U$4:$U$4024,"&lt;="&amp;AF283)</f>
        <v>37</v>
      </c>
    </row>
    <row r="284" spans="32:33" x14ac:dyDescent="0.25">
      <c r="AF284" s="272">
        <v>43228</v>
      </c>
      <c r="AG284" s="232">
        <f>COUNTIF(Workflows!$U$4:$U$4024,"&lt;="&amp;AF284)</f>
        <v>37</v>
      </c>
    </row>
    <row r="285" spans="32:33" x14ac:dyDescent="0.25">
      <c r="AF285" s="272">
        <v>43229</v>
      </c>
      <c r="AG285" s="232">
        <f>COUNTIF(Workflows!$U$4:$U$4024,"&lt;="&amp;AF285)</f>
        <v>37</v>
      </c>
    </row>
    <row r="286" spans="32:33" x14ac:dyDescent="0.25">
      <c r="AF286" s="272">
        <v>43230</v>
      </c>
      <c r="AG286" s="232">
        <f>COUNTIF(Workflows!$U$4:$U$4024,"&lt;="&amp;AF286)</f>
        <v>37</v>
      </c>
    </row>
    <row r="287" spans="32:33" x14ac:dyDescent="0.25">
      <c r="AF287" s="272">
        <v>43231</v>
      </c>
      <c r="AG287" s="232">
        <f>COUNTIF(Workflows!$U$4:$U$4024,"&lt;="&amp;AF287)</f>
        <v>37</v>
      </c>
    </row>
    <row r="288" spans="32:33" x14ac:dyDescent="0.25">
      <c r="AF288" s="272">
        <v>43232</v>
      </c>
      <c r="AG288" s="232">
        <f>COUNTIF(Workflows!$U$4:$U$4024,"&lt;="&amp;AF288)</f>
        <v>37</v>
      </c>
    </row>
    <row r="289" spans="32:33" x14ac:dyDescent="0.25">
      <c r="AF289" s="272">
        <v>43233</v>
      </c>
      <c r="AG289" s="232">
        <f>COUNTIF(Workflows!$U$4:$U$4024,"&lt;="&amp;AF289)</f>
        <v>37</v>
      </c>
    </row>
    <row r="290" spans="32:33" x14ac:dyDescent="0.25">
      <c r="AF290" s="272">
        <v>43234</v>
      </c>
      <c r="AG290" s="232">
        <f>COUNTIF(Workflows!$U$4:$U$4024,"&lt;="&amp;AF290)</f>
        <v>37</v>
      </c>
    </row>
    <row r="291" spans="32:33" x14ac:dyDescent="0.25">
      <c r="AF291" s="272">
        <v>43235</v>
      </c>
      <c r="AG291" s="232">
        <f>COUNTIF(Workflows!$U$4:$U$4024,"&lt;="&amp;AF291)</f>
        <v>37</v>
      </c>
    </row>
    <row r="292" spans="32:33" x14ac:dyDescent="0.25">
      <c r="AF292" s="272">
        <v>43236</v>
      </c>
      <c r="AG292" s="232">
        <f>COUNTIF(Workflows!$U$4:$U$4024,"&lt;="&amp;AF292)</f>
        <v>37</v>
      </c>
    </row>
    <row r="293" spans="32:33" x14ac:dyDescent="0.25">
      <c r="AF293" s="272">
        <v>43237</v>
      </c>
      <c r="AG293" s="232">
        <f>COUNTIF(Workflows!$U$4:$U$4024,"&lt;="&amp;AF293)</f>
        <v>37</v>
      </c>
    </row>
    <row r="294" spans="32:33" x14ac:dyDescent="0.25">
      <c r="AF294" s="272">
        <v>43238</v>
      </c>
      <c r="AG294" s="232">
        <f>COUNTIF(Workflows!$U$4:$U$4024,"&lt;="&amp;AF294)</f>
        <v>37</v>
      </c>
    </row>
    <row r="295" spans="32:33" x14ac:dyDescent="0.25">
      <c r="AF295" s="272">
        <v>43239</v>
      </c>
      <c r="AG295" s="232">
        <f>COUNTIF(Workflows!$U$4:$U$4024,"&lt;="&amp;AF295)</f>
        <v>37</v>
      </c>
    </row>
    <row r="296" spans="32:33" x14ac:dyDescent="0.25">
      <c r="AF296" s="272">
        <v>43240</v>
      </c>
      <c r="AG296" s="232">
        <f>COUNTIF(Workflows!$U$4:$U$4024,"&lt;="&amp;AF296)</f>
        <v>37</v>
      </c>
    </row>
    <row r="297" spans="32:33" x14ac:dyDescent="0.25">
      <c r="AF297" s="272">
        <v>43241</v>
      </c>
      <c r="AG297" s="232">
        <f>COUNTIF(Workflows!$U$4:$U$4024,"&lt;="&amp;AF297)</f>
        <v>37</v>
      </c>
    </row>
    <row r="298" spans="32:33" x14ac:dyDescent="0.25">
      <c r="AF298" s="272">
        <v>43242</v>
      </c>
      <c r="AG298" s="232">
        <f>COUNTIF(Workflows!$U$4:$U$4024,"&lt;="&amp;AF298)</f>
        <v>37</v>
      </c>
    </row>
    <row r="299" spans="32:33" x14ac:dyDescent="0.25">
      <c r="AF299" s="272">
        <v>43243</v>
      </c>
      <c r="AG299" s="232">
        <f>COUNTIF(Workflows!$U$4:$U$4024,"&lt;="&amp;AF299)</f>
        <v>37</v>
      </c>
    </row>
    <row r="300" spans="32:33" x14ac:dyDescent="0.25">
      <c r="AF300" s="272">
        <v>43244</v>
      </c>
      <c r="AG300" s="232">
        <f>COUNTIF(Workflows!$U$4:$U$4024,"&lt;="&amp;AF300)</f>
        <v>37</v>
      </c>
    </row>
    <row r="301" spans="32:33" x14ac:dyDescent="0.25">
      <c r="AF301" s="272">
        <v>43245</v>
      </c>
      <c r="AG301" s="232">
        <f>COUNTIF(Workflows!$U$4:$U$4024,"&lt;="&amp;AF301)</f>
        <v>37</v>
      </c>
    </row>
    <row r="302" spans="32:33" x14ac:dyDescent="0.25">
      <c r="AF302" s="272">
        <v>43246</v>
      </c>
      <c r="AG302" s="232">
        <f>COUNTIF(Workflows!$U$4:$U$4024,"&lt;="&amp;AF302)</f>
        <v>37</v>
      </c>
    </row>
    <row r="303" spans="32:33" x14ac:dyDescent="0.25">
      <c r="AF303" s="272">
        <v>43247</v>
      </c>
      <c r="AG303" s="232">
        <f>COUNTIF(Workflows!$U$4:$U$4024,"&lt;="&amp;AF303)</f>
        <v>37</v>
      </c>
    </row>
    <row r="304" spans="32:33" x14ac:dyDescent="0.25">
      <c r="AF304" s="272">
        <v>43248</v>
      </c>
      <c r="AG304" s="232">
        <f>COUNTIF(Workflows!$U$4:$U$4024,"&lt;="&amp;AF304)</f>
        <v>37</v>
      </c>
    </row>
    <row r="305" spans="32:33" x14ac:dyDescent="0.25">
      <c r="AF305" s="272">
        <v>43249</v>
      </c>
      <c r="AG305" s="232">
        <f>COUNTIF(Workflows!$U$4:$U$4024,"&lt;="&amp;AF305)</f>
        <v>37</v>
      </c>
    </row>
    <row r="306" spans="32:33" x14ac:dyDescent="0.25">
      <c r="AF306" s="272">
        <v>43250</v>
      </c>
      <c r="AG306" s="232">
        <f>COUNTIF(Workflows!$U$4:$U$4024,"&lt;="&amp;AF306)</f>
        <v>37</v>
      </c>
    </row>
    <row r="307" spans="32:33" x14ac:dyDescent="0.25">
      <c r="AF307" s="272">
        <v>43251</v>
      </c>
      <c r="AG307" s="232">
        <f>COUNTIF(Workflows!$U$4:$U$4024,"&lt;="&amp;AF307)</f>
        <v>37</v>
      </c>
    </row>
    <row r="308" spans="32:33" x14ac:dyDescent="0.25">
      <c r="AF308" s="272">
        <v>43252</v>
      </c>
      <c r="AG308" s="232">
        <f>COUNTIF(Workflows!$U$4:$U$4024,"&lt;="&amp;AF308)</f>
        <v>37</v>
      </c>
    </row>
    <row r="309" spans="32:33" x14ac:dyDescent="0.25">
      <c r="AF309" s="272">
        <v>43253</v>
      </c>
      <c r="AG309" s="232">
        <f>COUNTIF(Workflows!$U$4:$U$4024,"&lt;="&amp;AF309)</f>
        <v>37</v>
      </c>
    </row>
    <row r="310" spans="32:33" x14ac:dyDescent="0.25">
      <c r="AF310" s="272">
        <v>43254</v>
      </c>
      <c r="AG310" s="232">
        <f>COUNTIF(Workflows!$U$4:$U$4024,"&lt;="&amp;AF310)</f>
        <v>37</v>
      </c>
    </row>
    <row r="311" spans="32:33" x14ac:dyDescent="0.25">
      <c r="AF311" s="272">
        <v>43255</v>
      </c>
      <c r="AG311" s="232">
        <f>COUNTIF(Workflows!$U$4:$U$4024,"&lt;="&amp;AF311)</f>
        <v>37</v>
      </c>
    </row>
    <row r="312" spans="32:33" x14ac:dyDescent="0.25">
      <c r="AF312" s="272">
        <v>43256</v>
      </c>
      <c r="AG312" s="232">
        <f>COUNTIF(Workflows!$U$4:$U$4024,"&lt;="&amp;AF312)</f>
        <v>37</v>
      </c>
    </row>
    <row r="313" spans="32:33" x14ac:dyDescent="0.25">
      <c r="AF313" s="272">
        <v>43257</v>
      </c>
      <c r="AG313" s="232">
        <f>COUNTIF(Workflows!$U$4:$U$4024,"&lt;="&amp;AF313)</f>
        <v>37</v>
      </c>
    </row>
    <row r="314" spans="32:33" x14ac:dyDescent="0.25">
      <c r="AF314" s="272">
        <v>43258</v>
      </c>
      <c r="AG314" s="232">
        <f>COUNTIF(Workflows!$U$4:$U$4024,"&lt;="&amp;AF314)</f>
        <v>37</v>
      </c>
    </row>
    <row r="315" spans="32:33" x14ac:dyDescent="0.25">
      <c r="AF315" s="272">
        <v>43259</v>
      </c>
      <c r="AG315" s="232">
        <f>COUNTIF(Workflows!$U$4:$U$4024,"&lt;="&amp;AF315)</f>
        <v>37</v>
      </c>
    </row>
    <row r="316" spans="32:33" x14ac:dyDescent="0.25">
      <c r="AF316" s="272">
        <v>43260</v>
      </c>
      <c r="AG316" s="232">
        <f>COUNTIF(Workflows!$U$4:$U$4024,"&lt;="&amp;AF316)</f>
        <v>37</v>
      </c>
    </row>
    <row r="317" spans="32:33" x14ac:dyDescent="0.25">
      <c r="AF317" s="272">
        <v>43261</v>
      </c>
      <c r="AG317" s="232">
        <f>COUNTIF(Workflows!$U$4:$U$4024,"&lt;="&amp;AF317)</f>
        <v>37</v>
      </c>
    </row>
    <row r="318" spans="32:33" x14ac:dyDescent="0.25">
      <c r="AF318" s="272">
        <v>43262</v>
      </c>
      <c r="AG318" s="232">
        <f>COUNTIF(Workflows!$U$4:$U$4024,"&lt;="&amp;AF318)</f>
        <v>37</v>
      </c>
    </row>
    <row r="319" spans="32:33" x14ac:dyDescent="0.25">
      <c r="AF319" s="272">
        <v>43263</v>
      </c>
      <c r="AG319" s="232">
        <f>COUNTIF(Workflows!$U$4:$U$4024,"&lt;="&amp;AF319)</f>
        <v>37</v>
      </c>
    </row>
    <row r="320" spans="32:33" x14ac:dyDescent="0.25">
      <c r="AF320" s="272">
        <v>43264</v>
      </c>
      <c r="AG320" s="232">
        <f>COUNTIF(Workflows!$U$4:$U$4024,"&lt;="&amp;AF320)</f>
        <v>37</v>
      </c>
    </row>
    <row r="321" spans="32:33" x14ac:dyDescent="0.25">
      <c r="AF321" s="272">
        <v>43265</v>
      </c>
      <c r="AG321" s="232">
        <f>COUNTIF(Workflows!$U$4:$U$4024,"&lt;="&amp;AF321)</f>
        <v>37</v>
      </c>
    </row>
    <row r="322" spans="32:33" x14ac:dyDescent="0.25">
      <c r="AF322" s="272">
        <v>43266</v>
      </c>
      <c r="AG322" s="232">
        <f>COUNTIF(Workflows!$U$4:$U$4024,"&lt;="&amp;AF322)</f>
        <v>37</v>
      </c>
    </row>
    <row r="323" spans="32:33" x14ac:dyDescent="0.25">
      <c r="AF323" s="272">
        <v>43267</v>
      </c>
      <c r="AG323" s="232">
        <f>COUNTIF(Workflows!$U$4:$U$4024,"&lt;="&amp;AF323)</f>
        <v>37</v>
      </c>
    </row>
    <row r="324" spans="32:33" x14ac:dyDescent="0.25">
      <c r="AF324" s="272">
        <v>43268</v>
      </c>
      <c r="AG324" s="232">
        <f>COUNTIF(Workflows!$U$4:$U$4024,"&lt;="&amp;AF324)</f>
        <v>37</v>
      </c>
    </row>
    <row r="325" spans="32:33" x14ac:dyDescent="0.25">
      <c r="AF325" s="272">
        <v>43269</v>
      </c>
      <c r="AG325" s="232">
        <f>COUNTIF(Workflows!$U$4:$U$4024,"&lt;="&amp;AF325)</f>
        <v>37</v>
      </c>
    </row>
    <row r="326" spans="32:33" x14ac:dyDescent="0.25">
      <c r="AF326" s="272">
        <v>43270</v>
      </c>
      <c r="AG326" s="232">
        <f>COUNTIF(Workflows!$U$4:$U$4024,"&lt;="&amp;AF326)</f>
        <v>37</v>
      </c>
    </row>
    <row r="327" spans="32:33" x14ac:dyDescent="0.25">
      <c r="AF327" s="272">
        <v>43271</v>
      </c>
      <c r="AG327" s="232">
        <f>COUNTIF(Workflows!$U$4:$U$4024,"&lt;="&amp;AF327)</f>
        <v>37</v>
      </c>
    </row>
    <row r="328" spans="32:33" x14ac:dyDescent="0.25">
      <c r="AF328" s="272">
        <v>43272</v>
      </c>
      <c r="AG328" s="232">
        <f>COUNTIF(Workflows!$U$4:$U$4024,"&lt;="&amp;AF328)</f>
        <v>37</v>
      </c>
    </row>
    <row r="329" spans="32:33" x14ac:dyDescent="0.25">
      <c r="AF329" s="272">
        <v>43273</v>
      </c>
      <c r="AG329" s="232">
        <f>COUNTIF(Workflows!$U$4:$U$4024,"&lt;="&amp;AF329)</f>
        <v>37</v>
      </c>
    </row>
    <row r="330" spans="32:33" x14ac:dyDescent="0.25">
      <c r="AF330" s="272">
        <v>43274</v>
      </c>
      <c r="AG330" s="232">
        <f>COUNTIF(Workflows!$U$4:$U$4024,"&lt;="&amp;AF330)</f>
        <v>37</v>
      </c>
    </row>
    <row r="331" spans="32:33" x14ac:dyDescent="0.25">
      <c r="AF331" s="272">
        <v>43275</v>
      </c>
      <c r="AG331" s="232">
        <f>COUNTIF(Workflows!$U$4:$U$4024,"&lt;="&amp;AF331)</f>
        <v>37</v>
      </c>
    </row>
    <row r="332" spans="32:33" x14ac:dyDescent="0.25">
      <c r="AF332" s="272">
        <v>43276</v>
      </c>
      <c r="AG332" s="232">
        <f>COUNTIF(Workflows!$U$4:$U$4024,"&lt;="&amp;AF332)</f>
        <v>37</v>
      </c>
    </row>
    <row r="333" spans="32:33" x14ac:dyDescent="0.25">
      <c r="AF333" s="272">
        <v>43277</v>
      </c>
      <c r="AG333" s="232">
        <f>COUNTIF(Workflows!$U$4:$U$4024,"&lt;="&amp;AF333)</f>
        <v>37</v>
      </c>
    </row>
    <row r="334" spans="32:33" x14ac:dyDescent="0.25">
      <c r="AF334" s="272">
        <v>43278</v>
      </c>
      <c r="AG334" s="232">
        <f>COUNTIF(Workflows!$U$4:$U$4024,"&lt;="&amp;AF334)</f>
        <v>37</v>
      </c>
    </row>
    <row r="335" spans="32:33" x14ac:dyDescent="0.25">
      <c r="AF335" s="272">
        <v>43279</v>
      </c>
      <c r="AG335" s="232">
        <f>COUNTIF(Workflows!$U$4:$U$4024,"&lt;="&amp;AF335)</f>
        <v>37</v>
      </c>
    </row>
    <row r="336" spans="32:33" x14ac:dyDescent="0.25">
      <c r="AF336" s="272">
        <v>43280</v>
      </c>
      <c r="AG336" s="232">
        <f>COUNTIF(Workflows!$U$4:$U$4024,"&lt;="&amp;AF336)</f>
        <v>37</v>
      </c>
    </row>
    <row r="337" spans="32:33" x14ac:dyDescent="0.25">
      <c r="AF337" s="272">
        <v>43281</v>
      </c>
      <c r="AG337" s="232">
        <f>COUNTIF(Workflows!$U$4:$U$4024,"&lt;="&amp;AF337)</f>
        <v>37</v>
      </c>
    </row>
  </sheetData>
  <mergeCells count="2">
    <mergeCell ref="D3:I3"/>
    <mergeCell ref="K3:O3"/>
  </mergeCells>
  <conditionalFormatting sqref="A5:C10 A73:C77 A1:J1 J15:J77 P13:AE77 A13:B72 A2:D3 P7:AE10 AH13:XFD77 AF7:AF337 P5:AF6 AH5:XFD10 AG5:AG337 P1:XFD4 A4:I4 E2:I2 C13:C14">
    <cfRule type="containsBlanks" dxfId="596" priority="70">
      <formula>LEN(TRIM(A1))=0</formula>
    </cfRule>
  </conditionalFormatting>
  <conditionalFormatting sqref="Y1:AC10 Y13:AC1048576">
    <cfRule type="containsBlanks" dxfId="595" priority="69">
      <formula>LEN(TRIM(Y1))=0</formula>
    </cfRule>
  </conditionalFormatting>
  <conditionalFormatting sqref="C15:C72">
    <cfRule type="containsBlanks" dxfId="594" priority="68">
      <formula>LEN(TRIM(C15))=0</formula>
    </cfRule>
  </conditionalFormatting>
  <conditionalFormatting sqref="D16:I77 E15:I15 D5:I14">
    <cfRule type="cellIs" dxfId="593" priority="48" operator="equal">
      <formula>0</formula>
    </cfRule>
    <cfRule type="containsBlanks" dxfId="592" priority="49">
      <formula>LEN(TRIM(D5))=0</formula>
    </cfRule>
  </conditionalFormatting>
  <conditionalFormatting sqref="K1:O1 K4:O4">
    <cfRule type="containsBlanks" dxfId="591" priority="47">
      <formula>LEN(TRIM(K1))=0</formula>
    </cfRule>
  </conditionalFormatting>
  <conditionalFormatting sqref="K15:O77 K5:K14">
    <cfRule type="cellIs" dxfId="590" priority="45" operator="equal">
      <formula>0</formula>
    </cfRule>
    <cfRule type="containsBlanks" dxfId="589" priority="46">
      <formula>LEN(TRIM(K5))=0</formula>
    </cfRule>
  </conditionalFormatting>
  <conditionalFormatting sqref="L5:L14">
    <cfRule type="cellIs" dxfId="588" priority="43" operator="equal">
      <formula>0</formula>
    </cfRule>
    <cfRule type="containsBlanks" dxfId="587" priority="44">
      <formula>LEN(TRIM(L5))=0</formula>
    </cfRule>
  </conditionalFormatting>
  <conditionalFormatting sqref="M5:M14">
    <cfRule type="cellIs" dxfId="586" priority="39" operator="equal">
      <formula>0</formula>
    </cfRule>
    <cfRule type="containsBlanks" dxfId="585" priority="40">
      <formula>LEN(TRIM(M5))=0</formula>
    </cfRule>
  </conditionalFormatting>
  <conditionalFormatting sqref="N5:N14">
    <cfRule type="cellIs" dxfId="584" priority="37" operator="equal">
      <formula>0</formula>
    </cfRule>
    <cfRule type="containsBlanks" dxfId="583" priority="38">
      <formula>LEN(TRIM(N5))=0</formula>
    </cfRule>
  </conditionalFormatting>
  <conditionalFormatting sqref="O5:O14">
    <cfRule type="cellIs" dxfId="582" priority="35" operator="equal">
      <formula>0</formula>
    </cfRule>
    <cfRule type="containsBlanks" dxfId="581" priority="36">
      <formula>LEN(TRIM(O5))=0</formula>
    </cfRule>
  </conditionalFormatting>
  <conditionalFormatting sqref="K3">
    <cfRule type="containsBlanks" dxfId="580" priority="34">
      <formula>LEN(TRIM(K3))=0</formula>
    </cfRule>
  </conditionalFormatting>
  <conditionalFormatting sqref="A11:C11 P11:AE11 AH11:XFD11">
    <cfRule type="containsBlanks" dxfId="579" priority="33">
      <formula>LEN(TRIM(A11))=0</formula>
    </cfRule>
  </conditionalFormatting>
  <conditionalFormatting sqref="Y11:AC11">
    <cfRule type="containsBlanks" dxfId="578" priority="32">
      <formula>LEN(TRIM(Y11))=0</formula>
    </cfRule>
  </conditionalFormatting>
  <conditionalFormatting sqref="D15">
    <cfRule type="cellIs" dxfId="577" priority="18" operator="equal">
      <formula>0</formula>
    </cfRule>
    <cfRule type="containsBlanks" dxfId="576" priority="19">
      <formula>LEN(TRIM(D15))=0</formula>
    </cfRule>
  </conditionalFormatting>
  <conditionalFormatting sqref="A12:C12 P12:AE12 AH12:XFD12">
    <cfRule type="containsBlanks" dxfId="575" priority="5">
      <formula>LEN(TRIM(A12))=0</formula>
    </cfRule>
  </conditionalFormatting>
  <conditionalFormatting sqref="Y12:AC12">
    <cfRule type="containsBlanks" dxfId="574" priority="4">
      <formula>LEN(TRIM(Y12))=0</formula>
    </cfRule>
  </conditionalFormatting>
  <conditionalFormatting sqref="K2:O2">
    <cfRule type="containsBlanks" dxfId="573" priority="2">
      <formula>LEN(TRIM(K2))=0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>
    <tabColor theme="4" tint="0.79998168889431442"/>
  </sheetPr>
  <dimension ref="A1:AQ157"/>
  <sheetViews>
    <sheetView tabSelected="1" zoomScaleNormal="100" workbookViewId="0">
      <pane xSplit="5" ySplit="3" topLeftCell="F4" activePane="bottomRight" state="frozen"/>
      <selection pane="topRight" activeCell="E1" sqref="E1"/>
      <selection pane="bottomLeft" activeCell="A4" sqref="A4"/>
      <selection pane="bottomRight"/>
    </sheetView>
  </sheetViews>
  <sheetFormatPr defaultColWidth="0" defaultRowHeight="0" customHeight="1" zeroHeight="1" x14ac:dyDescent="0.25"/>
  <cols>
    <col min="1" max="1" width="2.5703125" style="1" customWidth="1"/>
    <col min="2" max="2" width="15.5703125" style="1" bestFit="1" customWidth="1"/>
    <col min="3" max="3" width="0.42578125" style="1" customWidth="1"/>
    <col min="4" max="4" width="13.7109375" style="1" bestFit="1" customWidth="1"/>
    <col min="5" max="5" width="24.42578125" style="1" bestFit="1" customWidth="1"/>
    <col min="6" max="6" width="34" style="1" bestFit="1" customWidth="1"/>
    <col min="7" max="7" width="6" style="1" customWidth="1"/>
    <col min="8" max="8" width="15.42578125" style="1" hidden="1" customWidth="1"/>
    <col min="9" max="9" width="0.42578125" style="1" customWidth="1"/>
    <col min="10" max="12" width="12.85546875" style="17" customWidth="1"/>
    <col min="13" max="13" width="0.42578125" style="1" customWidth="1"/>
    <col min="14" max="14" width="19.42578125" style="1" bestFit="1" customWidth="1"/>
    <col min="15" max="15" width="15.5703125" style="1" bestFit="1" customWidth="1"/>
    <col min="16" max="16" width="59.7109375" style="1" customWidth="1"/>
    <col min="17" max="17" width="23.7109375" style="1" customWidth="1"/>
    <col min="18" max="18" width="9.140625" style="1" customWidth="1"/>
    <col min="19" max="19" width="0.42578125" style="1" customWidth="1"/>
    <col min="20" max="20" width="54.28515625" style="1" customWidth="1"/>
    <col min="21" max="21" width="18.42578125" style="1" bestFit="1" customWidth="1"/>
    <col min="22" max="22" width="0.42578125" style="1" customWidth="1"/>
    <col min="23" max="25" width="9.140625" style="1" customWidth="1"/>
    <col min="26" max="26" width="0.42578125" style="1" customWidth="1"/>
    <col min="27" max="27" width="9.140625" style="1" customWidth="1"/>
    <col min="28" max="28" width="10.140625" style="1" bestFit="1" customWidth="1"/>
    <col min="29" max="29" width="0.42578125" style="1" customWidth="1"/>
    <col min="30" max="30" width="9.140625" style="1" customWidth="1"/>
    <col min="31" max="31" width="10.140625" style="1" bestFit="1" customWidth="1"/>
    <col min="32" max="36" width="9.140625" style="1" customWidth="1"/>
    <col min="37" max="43" width="0" style="1" hidden="1" customWidth="1"/>
    <col min="44" max="16384" width="9.140625" style="1" hidden="1"/>
  </cols>
  <sheetData>
    <row r="1" spans="2:33" ht="15.75" x14ac:dyDescent="0.25">
      <c r="B1" s="39" t="s">
        <v>72</v>
      </c>
    </row>
    <row r="2" spans="2:33" ht="16.5" thickBot="1" x14ac:dyDescent="0.3">
      <c r="B2" s="460" t="s">
        <v>49</v>
      </c>
      <c r="D2" s="460" t="s">
        <v>38</v>
      </c>
      <c r="E2" s="460"/>
      <c r="F2" s="460"/>
      <c r="G2" s="460"/>
      <c r="H2" s="460" t="s">
        <v>75</v>
      </c>
      <c r="J2" s="460" t="s">
        <v>40</v>
      </c>
      <c r="K2" s="460"/>
      <c r="L2" s="461" t="s">
        <v>96</v>
      </c>
      <c r="N2" s="416" t="s">
        <v>41</v>
      </c>
      <c r="O2" s="416"/>
      <c r="P2" s="416"/>
      <c r="Q2" s="416"/>
      <c r="R2" s="416"/>
      <c r="W2" s="416" t="s">
        <v>148</v>
      </c>
      <c r="X2" s="416"/>
      <c r="Y2" s="416"/>
      <c r="AA2" s="416" t="s">
        <v>150</v>
      </c>
      <c r="AB2" s="416"/>
      <c r="AD2" s="454" t="s">
        <v>167</v>
      </c>
      <c r="AE2" s="454"/>
    </row>
    <row r="3" spans="2:33" ht="15.75" x14ac:dyDescent="0.25">
      <c r="B3" s="460"/>
      <c r="C3" s="30"/>
      <c r="D3" s="189" t="s">
        <v>91</v>
      </c>
      <c r="E3" s="53" t="s">
        <v>4</v>
      </c>
      <c r="F3" s="54" t="s">
        <v>102</v>
      </c>
      <c r="G3" s="53" t="s">
        <v>73</v>
      </c>
      <c r="H3" s="460"/>
      <c r="J3" s="59" t="s">
        <v>2</v>
      </c>
      <c r="K3" s="59" t="s">
        <v>138</v>
      </c>
      <c r="L3" s="461"/>
      <c r="N3" s="30" t="s">
        <v>77</v>
      </c>
      <c r="O3" s="31" t="s">
        <v>78</v>
      </c>
      <c r="P3" s="31" t="s">
        <v>79</v>
      </c>
      <c r="Q3" s="31" t="s">
        <v>0</v>
      </c>
      <c r="R3" s="46" t="s">
        <v>2</v>
      </c>
      <c r="S3" s="66"/>
      <c r="T3" s="66" t="s">
        <v>132</v>
      </c>
      <c r="U3" s="66" t="s">
        <v>146</v>
      </c>
      <c r="V3" s="66"/>
      <c r="W3" s="66" t="s">
        <v>147</v>
      </c>
      <c r="X3" s="66" t="s">
        <v>54</v>
      </c>
      <c r="Y3" s="66" t="s">
        <v>53</v>
      </c>
      <c r="Z3" s="66"/>
      <c r="AA3" s="66" t="s">
        <v>153</v>
      </c>
      <c r="AB3" s="66" t="s">
        <v>152</v>
      </c>
      <c r="AC3" s="66"/>
      <c r="AD3" s="66" t="s">
        <v>153</v>
      </c>
      <c r="AE3" s="66" t="s">
        <v>166</v>
      </c>
      <c r="AF3" s="131" t="s">
        <v>224</v>
      </c>
      <c r="AG3" s="60"/>
    </row>
    <row r="4" spans="2:33" ht="19.5" customHeight="1" x14ac:dyDescent="0.25">
      <c r="B4" s="420" t="s">
        <v>39</v>
      </c>
      <c r="C4" s="32"/>
      <c r="D4" s="465" t="s">
        <v>293</v>
      </c>
      <c r="E4" s="462" t="s">
        <v>69</v>
      </c>
      <c r="F4" s="437" t="s">
        <v>34</v>
      </c>
      <c r="G4" s="467" t="s">
        <v>99</v>
      </c>
      <c r="H4" s="449"/>
      <c r="I4" s="36"/>
      <c r="J4" s="424" t="s">
        <v>127</v>
      </c>
      <c r="K4" s="424" t="s">
        <v>139</v>
      </c>
      <c r="L4" s="449" t="s">
        <v>265</v>
      </c>
      <c r="M4" s="36"/>
      <c r="N4" s="41" t="s">
        <v>80</v>
      </c>
      <c r="O4" s="42" t="s">
        <v>5</v>
      </c>
      <c r="P4" s="126" t="s">
        <v>222</v>
      </c>
      <c r="R4" s="42" t="s">
        <v>93</v>
      </c>
      <c r="S4" s="32"/>
      <c r="T4" s="458" t="s">
        <v>160</v>
      </c>
      <c r="U4" s="457">
        <v>42953</v>
      </c>
      <c r="V4" s="32"/>
      <c r="W4" s="456">
        <v>4.9099999999999998E-2</v>
      </c>
      <c r="X4" s="456">
        <v>5.16E-2</v>
      </c>
      <c r="Y4" s="456" t="s">
        <v>121</v>
      </c>
      <c r="Z4" s="32"/>
      <c r="AA4" s="455">
        <v>0.85</v>
      </c>
      <c r="AB4" s="455">
        <f>161/189</f>
        <v>0.85185185185185186</v>
      </c>
      <c r="AC4" s="32"/>
      <c r="AD4" s="455">
        <v>0.11</v>
      </c>
      <c r="AE4" s="455">
        <v>0.11</v>
      </c>
      <c r="AF4" s="473" t="s">
        <v>240</v>
      </c>
      <c r="AG4" s="469">
        <f>1/8</f>
        <v>0.125</v>
      </c>
    </row>
    <row r="5" spans="2:33" ht="21" customHeight="1" x14ac:dyDescent="0.25">
      <c r="B5" s="420"/>
      <c r="C5" s="32"/>
      <c r="D5" s="465"/>
      <c r="E5" s="462"/>
      <c r="F5" s="437"/>
      <c r="G5" s="467"/>
      <c r="H5" s="450"/>
      <c r="I5" s="36"/>
      <c r="J5" s="428"/>
      <c r="K5" s="428"/>
      <c r="L5" s="450"/>
      <c r="M5" s="36"/>
      <c r="N5" s="41" t="s">
        <v>105</v>
      </c>
      <c r="O5" s="42" t="s">
        <v>81</v>
      </c>
      <c r="P5" s="44" t="s">
        <v>106</v>
      </c>
      <c r="R5" s="42" t="s">
        <v>93</v>
      </c>
      <c r="S5" s="32"/>
      <c r="T5" s="458"/>
      <c r="U5" s="457"/>
      <c r="V5" s="32"/>
      <c r="W5" s="456"/>
      <c r="X5" s="456"/>
      <c r="Y5" s="456"/>
      <c r="Z5" s="32"/>
      <c r="AA5" s="455"/>
      <c r="AB5" s="455"/>
      <c r="AC5" s="32"/>
      <c r="AD5" s="455"/>
      <c r="AE5" s="455"/>
      <c r="AF5" s="473"/>
      <c r="AG5" s="469"/>
    </row>
    <row r="6" spans="2:33" ht="15.75" customHeight="1" x14ac:dyDescent="0.25">
      <c r="B6" s="420"/>
      <c r="C6" s="32"/>
      <c r="D6" s="465"/>
      <c r="E6" s="462"/>
      <c r="F6" s="437"/>
      <c r="G6" s="467"/>
      <c r="H6" s="450"/>
      <c r="I6" s="36"/>
      <c r="J6" s="428"/>
      <c r="K6" s="428"/>
      <c r="L6" s="450"/>
      <c r="M6" s="36"/>
      <c r="N6" s="41" t="s">
        <v>107</v>
      </c>
      <c r="O6" s="42" t="s">
        <v>82</v>
      </c>
      <c r="P6" s="44" t="s">
        <v>85</v>
      </c>
      <c r="R6" s="42" t="s">
        <v>93</v>
      </c>
      <c r="S6" s="32"/>
      <c r="T6" s="458"/>
      <c r="U6" s="457"/>
      <c r="V6" s="32"/>
      <c r="W6" s="456"/>
      <c r="X6" s="456"/>
      <c r="Y6" s="456"/>
      <c r="Z6" s="32"/>
      <c r="AA6" s="455"/>
      <c r="AB6" s="455"/>
      <c r="AC6" s="32"/>
      <c r="AD6" s="455"/>
      <c r="AE6" s="455"/>
      <c r="AF6" s="473"/>
      <c r="AG6" s="469"/>
    </row>
    <row r="7" spans="2:33" ht="15.75" x14ac:dyDescent="0.25">
      <c r="B7" s="420"/>
      <c r="C7" s="32"/>
      <c r="D7" s="465"/>
      <c r="E7" s="462"/>
      <c r="F7" s="437"/>
      <c r="G7" s="467"/>
      <c r="H7" s="450"/>
      <c r="I7" s="36"/>
      <c r="J7" s="428"/>
      <c r="K7" s="428"/>
      <c r="L7" s="450"/>
      <c r="M7" s="36"/>
      <c r="N7" s="41" t="s">
        <v>108</v>
      </c>
      <c r="O7" s="42" t="s">
        <v>82</v>
      </c>
      <c r="P7" s="44" t="s">
        <v>86</v>
      </c>
      <c r="R7" s="42" t="s">
        <v>93</v>
      </c>
      <c r="S7" s="32"/>
      <c r="T7" s="458"/>
      <c r="U7" s="457"/>
      <c r="V7" s="32"/>
      <c r="W7" s="456"/>
      <c r="X7" s="456"/>
      <c r="Y7" s="456"/>
      <c r="Z7" s="32"/>
      <c r="AA7" s="455"/>
      <c r="AB7" s="455"/>
      <c r="AC7" s="32"/>
      <c r="AD7" s="455"/>
      <c r="AE7" s="455"/>
      <c r="AF7" s="473"/>
      <c r="AG7" s="469"/>
    </row>
    <row r="8" spans="2:33" ht="15.75" x14ac:dyDescent="0.25">
      <c r="B8" s="420"/>
      <c r="C8" s="32"/>
      <c r="D8" s="465"/>
      <c r="E8" s="462"/>
      <c r="F8" s="437"/>
      <c r="G8" s="467"/>
      <c r="H8" s="450"/>
      <c r="I8" s="36"/>
      <c r="J8" s="428"/>
      <c r="K8" s="428"/>
      <c r="L8" s="450"/>
      <c r="M8" s="36"/>
      <c r="N8" s="41" t="s">
        <v>109</v>
      </c>
      <c r="O8" s="42" t="s">
        <v>82</v>
      </c>
      <c r="P8" s="44" t="s">
        <v>89</v>
      </c>
      <c r="R8" s="42" t="s">
        <v>93</v>
      </c>
      <c r="S8" s="32"/>
      <c r="T8" s="458"/>
      <c r="U8" s="457"/>
      <c r="V8" s="32"/>
      <c r="W8" s="456"/>
      <c r="X8" s="456"/>
      <c r="Y8" s="456"/>
      <c r="Z8" s="32"/>
      <c r="AA8" s="455"/>
      <c r="AB8" s="455"/>
      <c r="AC8" s="32"/>
      <c r="AD8" s="455"/>
      <c r="AE8" s="455"/>
      <c r="AF8" s="473"/>
      <c r="AG8" s="469"/>
    </row>
    <row r="9" spans="2:33" ht="15.75" x14ac:dyDescent="0.25">
      <c r="B9" s="420"/>
      <c r="C9" s="32"/>
      <c r="D9" s="465"/>
      <c r="E9" s="462"/>
      <c r="F9" s="437"/>
      <c r="G9" s="467"/>
      <c r="H9" s="451"/>
      <c r="I9" s="36"/>
      <c r="J9" s="428"/>
      <c r="K9" s="428"/>
      <c r="L9" s="451"/>
      <c r="M9" s="36"/>
      <c r="N9" s="41" t="s">
        <v>110</v>
      </c>
      <c r="O9" s="42" t="s">
        <v>82</v>
      </c>
      <c r="P9" s="44" t="s">
        <v>92</v>
      </c>
      <c r="R9" s="42" t="s">
        <v>93</v>
      </c>
      <c r="S9" s="32"/>
      <c r="T9" s="458"/>
      <c r="U9" s="457"/>
      <c r="V9" s="32"/>
      <c r="W9" s="456"/>
      <c r="X9" s="456"/>
      <c r="Y9" s="456"/>
      <c r="Z9" s="32"/>
      <c r="AA9" s="455"/>
      <c r="AB9" s="455"/>
      <c r="AC9" s="32"/>
      <c r="AD9" s="455"/>
      <c r="AE9" s="455"/>
      <c r="AF9" s="473"/>
      <c r="AG9" s="469"/>
    </row>
    <row r="10" spans="2:33" ht="36.75" customHeight="1" x14ac:dyDescent="0.25">
      <c r="B10" s="420" t="s">
        <v>39</v>
      </c>
      <c r="C10" s="32"/>
      <c r="D10" s="465" t="s">
        <v>293</v>
      </c>
      <c r="E10" s="462" t="s">
        <v>70</v>
      </c>
      <c r="F10" s="437" t="s">
        <v>103</v>
      </c>
      <c r="G10" s="467" t="s">
        <v>99</v>
      </c>
      <c r="H10" s="449"/>
      <c r="I10" s="36"/>
      <c r="J10" s="428"/>
      <c r="K10" s="428"/>
      <c r="L10" s="449" t="s">
        <v>283</v>
      </c>
      <c r="M10" s="36"/>
      <c r="N10" s="41" t="s">
        <v>80</v>
      </c>
      <c r="O10" s="42" t="s">
        <v>5</v>
      </c>
      <c r="P10" s="44" t="s">
        <v>84</v>
      </c>
      <c r="R10" s="42" t="s">
        <v>93</v>
      </c>
      <c r="S10" s="32"/>
      <c r="T10" s="458" t="s">
        <v>161</v>
      </c>
      <c r="U10" s="457">
        <v>42953</v>
      </c>
      <c r="V10" s="32"/>
      <c r="W10" s="456">
        <v>2.5899999999999999E-2</v>
      </c>
      <c r="X10" s="456">
        <v>2.7199999999999998E-2</v>
      </c>
      <c r="Y10" s="456" t="s">
        <v>121</v>
      </c>
      <c r="Z10" s="32"/>
      <c r="AA10" s="455">
        <v>0.88</v>
      </c>
      <c r="AB10" s="455">
        <v>0.88</v>
      </c>
      <c r="AC10" s="32"/>
      <c r="AD10" s="455">
        <v>0.05</v>
      </c>
      <c r="AE10" s="455">
        <v>0.05</v>
      </c>
      <c r="AF10" s="473" t="s">
        <v>230</v>
      </c>
      <c r="AG10" s="469">
        <f>1/9</f>
        <v>0.1111111111111111</v>
      </c>
    </row>
    <row r="11" spans="2:33" ht="39" customHeight="1" x14ac:dyDescent="0.25">
      <c r="B11" s="420"/>
      <c r="C11" s="32"/>
      <c r="D11" s="465"/>
      <c r="E11" s="462"/>
      <c r="F11" s="437"/>
      <c r="G11" s="467"/>
      <c r="H11" s="450"/>
      <c r="I11" s="36"/>
      <c r="J11" s="428"/>
      <c r="K11" s="428"/>
      <c r="L11" s="450"/>
      <c r="M11" s="36"/>
      <c r="N11" s="41" t="s">
        <v>112</v>
      </c>
      <c r="O11" s="42" t="s">
        <v>82</v>
      </c>
      <c r="P11" s="44" t="s">
        <v>140</v>
      </c>
      <c r="R11" s="42" t="s">
        <v>93</v>
      </c>
      <c r="S11" s="32"/>
      <c r="T11" s="458"/>
      <c r="U11" s="457"/>
      <c r="V11" s="32"/>
      <c r="W11" s="456"/>
      <c r="X11" s="456"/>
      <c r="Y11" s="456"/>
      <c r="Z11" s="32"/>
      <c r="AA11" s="455"/>
      <c r="AB11" s="455"/>
      <c r="AC11" s="32"/>
      <c r="AD11" s="455"/>
      <c r="AE11" s="455"/>
      <c r="AF11" s="473"/>
      <c r="AG11" s="469"/>
    </row>
    <row r="12" spans="2:33" ht="18" x14ac:dyDescent="0.25">
      <c r="B12" s="34" t="s">
        <v>39</v>
      </c>
      <c r="C12" s="32"/>
      <c r="D12" s="216" t="s">
        <v>293</v>
      </c>
      <c r="E12" s="165" t="s">
        <v>76</v>
      </c>
      <c r="F12" s="328" t="s">
        <v>104</v>
      </c>
      <c r="G12" s="86" t="s">
        <v>99</v>
      </c>
      <c r="H12" s="37"/>
      <c r="I12" s="36"/>
      <c r="J12" s="428"/>
      <c r="K12" s="428"/>
      <c r="L12" s="40" t="s">
        <v>98</v>
      </c>
      <c r="M12" s="36"/>
      <c r="N12" s="41" t="s">
        <v>111</v>
      </c>
      <c r="O12" s="42" t="s">
        <v>87</v>
      </c>
      <c r="P12" s="44" t="s">
        <v>120</v>
      </c>
      <c r="Q12" s="45" t="s">
        <v>88</v>
      </c>
      <c r="R12" s="42" t="s">
        <v>93</v>
      </c>
      <c r="S12" s="32"/>
      <c r="T12" s="70" t="s">
        <v>159</v>
      </c>
      <c r="U12" s="67">
        <v>42953</v>
      </c>
      <c r="V12" s="32"/>
      <c r="W12" s="69">
        <v>9.1999999999999998E-3</v>
      </c>
      <c r="X12" s="69">
        <v>9.7000000000000003E-3</v>
      </c>
      <c r="Y12" s="69" t="s">
        <v>121</v>
      </c>
      <c r="Z12" s="32"/>
      <c r="AA12" s="71">
        <v>1</v>
      </c>
      <c r="AB12" s="71">
        <v>1</v>
      </c>
      <c r="AC12" s="32"/>
      <c r="AD12" s="71">
        <v>0</v>
      </c>
      <c r="AE12" s="71">
        <v>0</v>
      </c>
      <c r="AF12" s="132" t="s">
        <v>229</v>
      </c>
      <c r="AG12" s="136">
        <v>0</v>
      </c>
    </row>
    <row r="13" spans="2:33" ht="21" customHeight="1" x14ac:dyDescent="0.25">
      <c r="B13" s="420" t="s">
        <v>39</v>
      </c>
      <c r="C13" s="32"/>
      <c r="D13" s="438" t="s">
        <v>293</v>
      </c>
      <c r="E13" s="462" t="s">
        <v>74</v>
      </c>
      <c r="F13" s="437" t="s">
        <v>29</v>
      </c>
      <c r="G13" s="421" t="s">
        <v>99</v>
      </c>
      <c r="H13" s="452"/>
      <c r="I13" s="38"/>
      <c r="J13" s="428"/>
      <c r="K13" s="428"/>
      <c r="L13" s="449" t="s">
        <v>367</v>
      </c>
      <c r="M13" s="38"/>
      <c r="N13" s="41" t="s">
        <v>113</v>
      </c>
      <c r="O13" s="42" t="s">
        <v>82</v>
      </c>
      <c r="P13" s="44" t="s">
        <v>94</v>
      </c>
      <c r="R13" s="42" t="s">
        <v>93</v>
      </c>
      <c r="S13" s="32"/>
      <c r="T13" s="459" t="s">
        <v>162</v>
      </c>
      <c r="U13" s="457">
        <v>42953</v>
      </c>
      <c r="V13" s="32"/>
      <c r="W13" s="456">
        <v>7.6E-3</v>
      </c>
      <c r="X13" s="456">
        <v>8.0000000000000002E-3</v>
      </c>
      <c r="Y13" s="456" t="s">
        <v>121</v>
      </c>
      <c r="Z13" s="32"/>
      <c r="AA13" s="455">
        <v>0.4</v>
      </c>
      <c r="AB13" s="455">
        <v>0.84705882352941175</v>
      </c>
      <c r="AC13" s="32"/>
      <c r="AD13" s="455">
        <v>0.03</v>
      </c>
      <c r="AE13" s="455">
        <v>0.03</v>
      </c>
      <c r="AF13" s="474" t="s">
        <v>226</v>
      </c>
      <c r="AG13" s="470">
        <f>5/32</f>
        <v>0.15625</v>
      </c>
    </row>
    <row r="14" spans="2:33" ht="19.5" x14ac:dyDescent="0.25">
      <c r="B14" s="420"/>
      <c r="C14" s="32"/>
      <c r="D14" s="438"/>
      <c r="E14" s="462"/>
      <c r="F14" s="437"/>
      <c r="G14" s="421"/>
      <c r="H14" s="453"/>
      <c r="I14" s="38"/>
      <c r="J14" s="428"/>
      <c r="K14" s="428"/>
      <c r="L14" s="450"/>
      <c r="M14" s="38"/>
      <c r="N14" s="43" t="s">
        <v>83</v>
      </c>
      <c r="O14" s="42" t="s">
        <v>5</v>
      </c>
      <c r="P14" s="126" t="s">
        <v>222</v>
      </c>
      <c r="R14" s="42" t="s">
        <v>93</v>
      </c>
      <c r="S14" s="32"/>
      <c r="T14" s="459"/>
      <c r="U14" s="457"/>
      <c r="V14" s="32"/>
      <c r="W14" s="456"/>
      <c r="X14" s="456"/>
      <c r="Y14" s="456"/>
      <c r="Z14" s="32"/>
      <c r="AA14" s="455"/>
      <c r="AB14" s="455"/>
      <c r="AC14" s="32"/>
      <c r="AD14" s="455"/>
      <c r="AE14" s="455"/>
      <c r="AF14" s="474"/>
      <c r="AG14" s="470"/>
    </row>
    <row r="15" spans="2:33" ht="15.75" x14ac:dyDescent="0.25">
      <c r="B15" s="34" t="s">
        <v>39</v>
      </c>
      <c r="C15" s="32"/>
      <c r="D15" s="260" t="s">
        <v>293</v>
      </c>
      <c r="E15" s="165" t="s">
        <v>182</v>
      </c>
      <c r="F15" s="328" t="s">
        <v>182</v>
      </c>
      <c r="G15" s="86" t="s">
        <v>99</v>
      </c>
      <c r="H15" s="89"/>
      <c r="I15" s="36"/>
      <c r="J15" s="428"/>
      <c r="K15" s="428"/>
      <c r="L15" s="40" t="s">
        <v>366</v>
      </c>
      <c r="M15" s="36"/>
      <c r="N15" s="115" t="s">
        <v>215</v>
      </c>
      <c r="O15" s="42" t="s">
        <v>214</v>
      </c>
      <c r="P15" s="127" t="s">
        <v>223</v>
      </c>
      <c r="R15" s="42" t="s">
        <v>93</v>
      </c>
      <c r="S15" s="32"/>
      <c r="T15" s="70"/>
      <c r="U15" s="258">
        <v>43089</v>
      </c>
      <c r="V15" s="32"/>
      <c r="W15" s="83">
        <v>1.6500000000000001E-2</v>
      </c>
      <c r="X15" s="83">
        <v>1.7299999999999999E-2</v>
      </c>
      <c r="Y15" s="83" t="s">
        <v>121</v>
      </c>
      <c r="Z15" s="32"/>
      <c r="AA15" s="71"/>
      <c r="AB15" s="71"/>
      <c r="AC15" s="32"/>
      <c r="AD15" s="71"/>
      <c r="AE15" s="71"/>
      <c r="AF15" s="132" t="s">
        <v>228</v>
      </c>
      <c r="AG15" s="136">
        <v>0</v>
      </c>
    </row>
    <row r="16" spans="2:33" ht="20.25" customHeight="1" x14ac:dyDescent="0.25">
      <c r="B16" s="463" t="s">
        <v>39</v>
      </c>
      <c r="C16" s="32"/>
      <c r="D16" s="468" t="s">
        <v>293</v>
      </c>
      <c r="E16" s="464" t="s">
        <v>183</v>
      </c>
      <c r="F16" s="466" t="s">
        <v>209</v>
      </c>
      <c r="G16" s="441" t="s">
        <v>99</v>
      </c>
      <c r="H16" s="89"/>
      <c r="I16" s="36"/>
      <c r="J16" s="428"/>
      <c r="K16" s="428"/>
      <c r="L16" s="449" t="s">
        <v>324</v>
      </c>
      <c r="M16" s="36"/>
      <c r="N16" s="43" t="s">
        <v>83</v>
      </c>
      <c r="O16" s="42" t="s">
        <v>5</v>
      </c>
      <c r="P16" s="126" t="s">
        <v>222</v>
      </c>
      <c r="R16" s="477" t="s">
        <v>93</v>
      </c>
      <c r="S16" s="32"/>
      <c r="T16" s="70"/>
      <c r="U16" s="443">
        <v>42988</v>
      </c>
      <c r="V16" s="32"/>
      <c r="W16" s="442">
        <v>1.32E-2</v>
      </c>
      <c r="X16" s="442">
        <v>1.38E-2</v>
      </c>
      <c r="Y16" s="442" t="s">
        <v>121</v>
      </c>
      <c r="Z16" s="32"/>
      <c r="AA16" s="472"/>
      <c r="AB16" s="472"/>
      <c r="AC16" s="32"/>
      <c r="AD16" s="472"/>
      <c r="AE16" s="476"/>
      <c r="AF16" s="475" t="s">
        <v>227</v>
      </c>
      <c r="AG16" s="471">
        <f>11/25</f>
        <v>0.44</v>
      </c>
    </row>
    <row r="17" spans="2:33" ht="15.75" x14ac:dyDescent="0.25">
      <c r="B17" s="463"/>
      <c r="C17" s="32"/>
      <c r="D17" s="468"/>
      <c r="E17" s="464"/>
      <c r="F17" s="466"/>
      <c r="G17" s="441"/>
      <c r="H17" s="89"/>
      <c r="I17" s="36"/>
      <c r="J17" s="428"/>
      <c r="K17" s="428"/>
      <c r="L17" s="451"/>
      <c r="M17" s="36"/>
      <c r="N17" s="43" t="s">
        <v>208</v>
      </c>
      <c r="O17" s="42" t="s">
        <v>220</v>
      </c>
      <c r="P17" s="44" t="s">
        <v>221</v>
      </c>
      <c r="R17" s="478"/>
      <c r="S17" s="32"/>
      <c r="T17" s="70"/>
      <c r="U17" s="443"/>
      <c r="V17" s="32"/>
      <c r="W17" s="442"/>
      <c r="X17" s="442"/>
      <c r="Y17" s="442"/>
      <c r="Z17" s="32"/>
      <c r="AA17" s="472"/>
      <c r="AB17" s="472"/>
      <c r="AC17" s="32"/>
      <c r="AD17" s="472"/>
      <c r="AE17" s="476"/>
      <c r="AF17" s="475"/>
      <c r="AG17" s="471"/>
    </row>
    <row r="18" spans="2:33" ht="15.75" x14ac:dyDescent="0.25">
      <c r="B18" s="211" t="s">
        <v>39</v>
      </c>
      <c r="C18" s="32"/>
      <c r="D18" s="260" t="s">
        <v>293</v>
      </c>
      <c r="E18" s="212" t="s">
        <v>302</v>
      </c>
      <c r="F18" s="328" t="s">
        <v>302</v>
      </c>
      <c r="G18" s="213" t="s">
        <v>99</v>
      </c>
      <c r="H18" s="89"/>
      <c r="I18" s="36"/>
      <c r="J18" s="428"/>
      <c r="K18" s="428"/>
      <c r="L18" s="40" t="s">
        <v>249</v>
      </c>
      <c r="M18" s="36"/>
      <c r="N18" s="43" t="s">
        <v>303</v>
      </c>
      <c r="O18" s="42" t="s">
        <v>304</v>
      </c>
      <c r="P18" s="44" t="s">
        <v>305</v>
      </c>
      <c r="Q18" s="45" t="s">
        <v>330</v>
      </c>
      <c r="R18" s="42" t="s">
        <v>93</v>
      </c>
      <c r="S18" s="32"/>
      <c r="T18" s="70"/>
      <c r="U18" s="206">
        <v>43089</v>
      </c>
      <c r="V18" s="32"/>
      <c r="W18" s="208"/>
      <c r="X18" s="208"/>
      <c r="Y18" s="208"/>
      <c r="Z18" s="32"/>
      <c r="AA18" s="209"/>
      <c r="AB18" s="209"/>
      <c r="AC18" s="32"/>
      <c r="AD18" s="209"/>
      <c r="AE18" s="209"/>
      <c r="AF18" s="210"/>
      <c r="AG18" s="207"/>
    </row>
    <row r="19" spans="2:33" ht="15.75" x14ac:dyDescent="0.25">
      <c r="B19" s="463" t="s">
        <v>39</v>
      </c>
      <c r="C19" s="32"/>
      <c r="D19" s="484" t="s">
        <v>295</v>
      </c>
      <c r="E19" s="483" t="s">
        <v>31</v>
      </c>
      <c r="F19" s="266"/>
      <c r="G19" s="441" t="s">
        <v>99</v>
      </c>
      <c r="H19" s="89"/>
      <c r="I19" s="36"/>
      <c r="J19" s="428"/>
      <c r="K19" s="428"/>
      <c r="L19" s="232"/>
      <c r="M19" s="36"/>
      <c r="N19" s="43" t="s">
        <v>83</v>
      </c>
      <c r="R19" s="268"/>
      <c r="S19" s="32"/>
      <c r="T19" s="70"/>
      <c r="U19" s="265"/>
      <c r="V19" s="32"/>
      <c r="W19" s="267"/>
      <c r="X19" s="267"/>
      <c r="Y19" s="267"/>
      <c r="Z19" s="32"/>
      <c r="AA19" s="264"/>
      <c r="AB19" s="264"/>
      <c r="AC19" s="32"/>
      <c r="AD19" s="264"/>
      <c r="AE19" s="264"/>
      <c r="AF19" s="270"/>
      <c r="AG19" s="269"/>
    </row>
    <row r="20" spans="2:33" ht="15.75" x14ac:dyDescent="0.25">
      <c r="B20" s="463"/>
      <c r="C20" s="32"/>
      <c r="D20" s="484"/>
      <c r="E20" s="483"/>
      <c r="F20" s="279"/>
      <c r="G20" s="441"/>
      <c r="H20" s="89"/>
      <c r="I20" s="36"/>
      <c r="J20" s="428"/>
      <c r="K20" s="428"/>
      <c r="L20" s="232"/>
      <c r="M20" s="36"/>
      <c r="N20" s="43" t="s">
        <v>335</v>
      </c>
      <c r="Q20" s="45" t="s">
        <v>337</v>
      </c>
      <c r="R20" s="278"/>
      <c r="S20" s="32"/>
      <c r="T20" s="70"/>
      <c r="U20" s="276"/>
      <c r="V20" s="32"/>
      <c r="W20" s="277"/>
      <c r="X20" s="277"/>
      <c r="Y20" s="277"/>
      <c r="Z20" s="32"/>
      <c r="AA20" s="275"/>
      <c r="AB20" s="275"/>
      <c r="AC20" s="32"/>
      <c r="AD20" s="275"/>
      <c r="AE20" s="275"/>
      <c r="AF20" s="281"/>
      <c r="AG20" s="280"/>
    </row>
    <row r="21" spans="2:33" ht="15.75" x14ac:dyDescent="0.25">
      <c r="B21" s="463"/>
      <c r="C21" s="32"/>
      <c r="D21" s="484"/>
      <c r="E21" s="483"/>
      <c r="F21" s="279"/>
      <c r="G21" s="441"/>
      <c r="H21" s="89"/>
      <c r="I21" s="36"/>
      <c r="J21" s="428"/>
      <c r="K21" s="428"/>
      <c r="L21" s="232"/>
      <c r="M21" s="36"/>
      <c r="N21" s="43" t="s">
        <v>336</v>
      </c>
      <c r="Q21" s="45" t="s">
        <v>338</v>
      </c>
      <c r="R21" s="278"/>
      <c r="S21" s="32"/>
      <c r="T21" s="70"/>
      <c r="U21" s="276"/>
      <c r="V21" s="32"/>
      <c r="W21" s="277"/>
      <c r="X21" s="277"/>
      <c r="Y21" s="277"/>
      <c r="Z21" s="32"/>
      <c r="AA21" s="275"/>
      <c r="AB21" s="275"/>
      <c r="AC21" s="32"/>
      <c r="AD21" s="275"/>
      <c r="AE21" s="275"/>
      <c r="AF21" s="281"/>
      <c r="AG21" s="280"/>
    </row>
    <row r="22" spans="2:33" ht="15.75" x14ac:dyDescent="0.25">
      <c r="B22" s="439" t="s">
        <v>39</v>
      </c>
      <c r="C22" s="32"/>
      <c r="D22" s="486" t="s">
        <v>296</v>
      </c>
      <c r="E22" s="462" t="s">
        <v>352</v>
      </c>
      <c r="F22" s="462" t="s">
        <v>352</v>
      </c>
      <c r="G22" s="441" t="s">
        <v>99</v>
      </c>
      <c r="H22" s="89"/>
      <c r="I22" s="36"/>
      <c r="J22" s="428"/>
      <c r="K22" s="428"/>
      <c r="L22" s="477" t="s">
        <v>411</v>
      </c>
      <c r="M22" s="36"/>
      <c r="N22" s="115" t="s">
        <v>215</v>
      </c>
      <c r="O22" s="283" t="s">
        <v>376</v>
      </c>
      <c r="P22" s="44" t="s">
        <v>386</v>
      </c>
      <c r="R22" s="42" t="s">
        <v>93</v>
      </c>
      <c r="S22" s="32"/>
      <c r="T22" s="70"/>
      <c r="U22" s="298"/>
      <c r="V22" s="32"/>
      <c r="W22" s="297"/>
      <c r="X22" s="297"/>
      <c r="Y22" s="297"/>
      <c r="Z22" s="32"/>
      <c r="AA22" s="294"/>
      <c r="AB22" s="294"/>
      <c r="AC22" s="32"/>
      <c r="AD22" s="294"/>
      <c r="AE22" s="294"/>
      <c r="AF22" s="299"/>
      <c r="AG22" s="300"/>
    </row>
    <row r="23" spans="2:33" ht="19.5" x14ac:dyDescent="0.25">
      <c r="B23" s="439"/>
      <c r="C23" s="32"/>
      <c r="D23" s="486"/>
      <c r="E23" s="462"/>
      <c r="F23" s="462"/>
      <c r="G23" s="441"/>
      <c r="H23" s="89"/>
      <c r="I23" s="36"/>
      <c r="J23" s="428"/>
      <c r="K23" s="428"/>
      <c r="L23" s="478"/>
      <c r="M23" s="36"/>
      <c r="N23" s="43" t="s">
        <v>377</v>
      </c>
      <c r="O23" s="339" t="s">
        <v>82</v>
      </c>
      <c r="P23" s="44" t="s">
        <v>385</v>
      </c>
      <c r="R23" s="42" t="s">
        <v>93</v>
      </c>
      <c r="S23" s="32"/>
      <c r="T23" s="70"/>
      <c r="U23" s="338"/>
      <c r="V23" s="32"/>
      <c r="W23" s="335"/>
      <c r="X23" s="335"/>
      <c r="Y23" s="335"/>
      <c r="Z23" s="32"/>
      <c r="AA23" s="336"/>
      <c r="AB23" s="336"/>
      <c r="AC23" s="32"/>
      <c r="AD23" s="336"/>
      <c r="AE23" s="336"/>
      <c r="AF23" s="337"/>
      <c r="AG23" s="334"/>
    </row>
    <row r="24" spans="2:33" ht="19.5" x14ac:dyDescent="0.25">
      <c r="B24" s="439"/>
      <c r="C24" s="32"/>
      <c r="D24" s="486"/>
      <c r="E24" s="462"/>
      <c r="F24" s="462"/>
      <c r="G24" s="441"/>
      <c r="H24" s="89"/>
      <c r="I24" s="36"/>
      <c r="J24" s="428"/>
      <c r="K24" s="428"/>
      <c r="L24" s="478"/>
      <c r="M24" s="36"/>
      <c r="N24" s="43" t="s">
        <v>378</v>
      </c>
      <c r="O24" s="339" t="s">
        <v>82</v>
      </c>
      <c r="P24" s="44" t="s">
        <v>387</v>
      </c>
      <c r="R24" s="42" t="s">
        <v>93</v>
      </c>
      <c r="S24" s="32"/>
      <c r="T24" s="70"/>
      <c r="U24" s="338"/>
      <c r="V24" s="32"/>
      <c r="W24" s="335"/>
      <c r="X24" s="335"/>
      <c r="Y24" s="335"/>
      <c r="Z24" s="32"/>
      <c r="AA24" s="336"/>
      <c r="AB24" s="336"/>
      <c r="AC24" s="32"/>
      <c r="AD24" s="336"/>
      <c r="AE24" s="336"/>
      <c r="AF24" s="337"/>
      <c r="AG24" s="334"/>
    </row>
    <row r="25" spans="2:33" ht="19.5" x14ac:dyDescent="0.25">
      <c r="B25" s="439"/>
      <c r="C25" s="32"/>
      <c r="D25" s="486"/>
      <c r="E25" s="462"/>
      <c r="F25" s="462"/>
      <c r="G25" s="441"/>
      <c r="H25" s="89"/>
      <c r="I25" s="36"/>
      <c r="J25" s="428"/>
      <c r="K25" s="428"/>
      <c r="L25" s="478"/>
      <c r="M25" s="36"/>
      <c r="N25" s="43" t="s">
        <v>379</v>
      </c>
      <c r="O25" s="339" t="s">
        <v>82</v>
      </c>
      <c r="P25" s="44" t="s">
        <v>391</v>
      </c>
      <c r="R25" s="42" t="s">
        <v>93</v>
      </c>
      <c r="S25" s="32"/>
      <c r="T25" s="70"/>
      <c r="U25" s="338"/>
      <c r="V25" s="32"/>
      <c r="W25" s="335"/>
      <c r="X25" s="335"/>
      <c r="Y25" s="335"/>
      <c r="Z25" s="32"/>
      <c r="AA25" s="336"/>
      <c r="AB25" s="336"/>
      <c r="AC25" s="32"/>
      <c r="AD25" s="336"/>
      <c r="AE25" s="336"/>
      <c r="AF25" s="337"/>
      <c r="AG25" s="334"/>
    </row>
    <row r="26" spans="2:33" ht="19.5" x14ac:dyDescent="0.25">
      <c r="B26" s="439"/>
      <c r="C26" s="32"/>
      <c r="D26" s="486"/>
      <c r="E26" s="462"/>
      <c r="F26" s="462"/>
      <c r="G26" s="441"/>
      <c r="H26" s="89"/>
      <c r="I26" s="36"/>
      <c r="J26" s="428"/>
      <c r="K26" s="428"/>
      <c r="L26" s="478"/>
      <c r="M26" s="36"/>
      <c r="N26" s="43" t="s">
        <v>2</v>
      </c>
      <c r="O26" s="339" t="s">
        <v>82</v>
      </c>
      <c r="P26" s="44" t="s">
        <v>392</v>
      </c>
      <c r="R26" s="42" t="s">
        <v>93</v>
      </c>
      <c r="S26" s="32"/>
      <c r="T26" s="70"/>
      <c r="U26" s="338"/>
      <c r="V26" s="32"/>
      <c r="W26" s="335"/>
      <c r="X26" s="335"/>
      <c r="Y26" s="335"/>
      <c r="Z26" s="32"/>
      <c r="AA26" s="336"/>
      <c r="AB26" s="336"/>
      <c r="AC26" s="32"/>
      <c r="AD26" s="336"/>
      <c r="AE26" s="336"/>
      <c r="AF26" s="337"/>
      <c r="AG26" s="334"/>
    </row>
    <row r="27" spans="2:33" ht="19.5" x14ac:dyDescent="0.25">
      <c r="B27" s="439"/>
      <c r="C27" s="32"/>
      <c r="D27" s="486"/>
      <c r="E27" s="462"/>
      <c r="F27" s="462"/>
      <c r="G27" s="441"/>
      <c r="H27" s="89"/>
      <c r="I27" s="36"/>
      <c r="J27" s="428"/>
      <c r="K27" s="428"/>
      <c r="L27" s="478"/>
      <c r="M27" s="36"/>
      <c r="N27" s="43" t="s">
        <v>380</v>
      </c>
      <c r="O27" s="339" t="s">
        <v>82</v>
      </c>
      <c r="P27" s="44" t="s">
        <v>393</v>
      </c>
      <c r="R27" s="42" t="s">
        <v>93</v>
      </c>
      <c r="S27" s="32"/>
      <c r="T27" s="70"/>
      <c r="U27" s="338"/>
      <c r="V27" s="32"/>
      <c r="W27" s="335"/>
      <c r="X27" s="335"/>
      <c r="Y27" s="335"/>
      <c r="Z27" s="32"/>
      <c r="AA27" s="336"/>
      <c r="AB27" s="336"/>
      <c r="AC27" s="32"/>
      <c r="AD27" s="336"/>
      <c r="AE27" s="336"/>
      <c r="AF27" s="337"/>
      <c r="AG27" s="334"/>
    </row>
    <row r="28" spans="2:33" ht="19.5" x14ac:dyDescent="0.25">
      <c r="B28" s="439"/>
      <c r="C28" s="32"/>
      <c r="D28" s="486"/>
      <c r="E28" s="462"/>
      <c r="F28" s="462"/>
      <c r="G28" s="441"/>
      <c r="H28" s="89"/>
      <c r="I28" s="36"/>
      <c r="J28" s="428"/>
      <c r="K28" s="428"/>
      <c r="L28" s="478"/>
      <c r="M28" s="36"/>
      <c r="N28" s="43" t="s">
        <v>381</v>
      </c>
      <c r="O28" s="339" t="s">
        <v>82</v>
      </c>
      <c r="P28" s="44" t="s">
        <v>388</v>
      </c>
      <c r="R28" s="42" t="s">
        <v>93</v>
      </c>
      <c r="S28" s="32"/>
      <c r="T28" s="70"/>
      <c r="U28" s="338"/>
      <c r="V28" s="32"/>
      <c r="W28" s="335"/>
      <c r="X28" s="335"/>
      <c r="Y28" s="335"/>
      <c r="Z28" s="32"/>
      <c r="AA28" s="336"/>
      <c r="AB28" s="336"/>
      <c r="AC28" s="32"/>
      <c r="AD28" s="336"/>
      <c r="AE28" s="336"/>
      <c r="AF28" s="337"/>
      <c r="AG28" s="334"/>
    </row>
    <row r="29" spans="2:33" ht="19.5" x14ac:dyDescent="0.25">
      <c r="B29" s="439"/>
      <c r="C29" s="32"/>
      <c r="D29" s="486"/>
      <c r="E29" s="462"/>
      <c r="F29" s="462"/>
      <c r="G29" s="441"/>
      <c r="H29" s="89"/>
      <c r="I29" s="36"/>
      <c r="J29" s="428"/>
      <c r="K29" s="428"/>
      <c r="L29" s="478"/>
      <c r="M29" s="36"/>
      <c r="N29" s="43" t="s">
        <v>382</v>
      </c>
      <c r="O29" s="339" t="s">
        <v>82</v>
      </c>
      <c r="P29" s="44" t="s">
        <v>394</v>
      </c>
      <c r="R29" s="42" t="s">
        <v>93</v>
      </c>
      <c r="S29" s="32"/>
      <c r="T29" s="70"/>
      <c r="U29" s="338"/>
      <c r="V29" s="32"/>
      <c r="W29" s="335"/>
      <c r="X29" s="335"/>
      <c r="Y29" s="335"/>
      <c r="Z29" s="32"/>
      <c r="AA29" s="336"/>
      <c r="AB29" s="336"/>
      <c r="AC29" s="32"/>
      <c r="AD29" s="336"/>
      <c r="AE29" s="336"/>
      <c r="AF29" s="337"/>
      <c r="AG29" s="334"/>
    </row>
    <row r="30" spans="2:33" ht="19.5" x14ac:dyDescent="0.25">
      <c r="B30" s="439"/>
      <c r="C30" s="32"/>
      <c r="D30" s="486"/>
      <c r="E30" s="462"/>
      <c r="F30" s="462"/>
      <c r="G30" s="441"/>
      <c r="H30" s="89"/>
      <c r="I30" s="36"/>
      <c r="J30" s="428"/>
      <c r="K30" s="428"/>
      <c r="L30" s="478"/>
      <c r="M30" s="36"/>
      <c r="N30" s="43" t="s">
        <v>383</v>
      </c>
      <c r="O30" s="339" t="s">
        <v>82</v>
      </c>
      <c r="P30" s="44" t="s">
        <v>389</v>
      </c>
      <c r="R30" s="42" t="s">
        <v>93</v>
      </c>
      <c r="S30" s="32"/>
      <c r="T30" s="70"/>
      <c r="U30" s="338"/>
      <c r="V30" s="32"/>
      <c r="W30" s="335"/>
      <c r="X30" s="335"/>
      <c r="Y30" s="335"/>
      <c r="Z30" s="32"/>
      <c r="AA30" s="336"/>
      <c r="AB30" s="336"/>
      <c r="AC30" s="32"/>
      <c r="AD30" s="336"/>
      <c r="AE30" s="336"/>
      <c r="AF30" s="337"/>
      <c r="AG30" s="334"/>
    </row>
    <row r="31" spans="2:33" ht="19.5" x14ac:dyDescent="0.25">
      <c r="B31" s="439"/>
      <c r="C31" s="32"/>
      <c r="D31" s="486"/>
      <c r="E31" s="462"/>
      <c r="F31" s="462"/>
      <c r="G31" s="441"/>
      <c r="H31" s="89"/>
      <c r="I31" s="36"/>
      <c r="J31" s="428"/>
      <c r="K31" s="428"/>
      <c r="L31" s="478"/>
      <c r="M31" s="36"/>
      <c r="N31" s="43" t="s">
        <v>384</v>
      </c>
      <c r="O31" s="339" t="s">
        <v>82</v>
      </c>
      <c r="P31" s="44" t="s">
        <v>390</v>
      </c>
      <c r="R31" s="42" t="s">
        <v>93</v>
      </c>
      <c r="S31" s="32"/>
      <c r="T31" s="70"/>
      <c r="U31" s="338"/>
      <c r="V31" s="32"/>
      <c r="W31" s="335"/>
      <c r="X31" s="335"/>
      <c r="Y31" s="335"/>
      <c r="Z31" s="32"/>
      <c r="AA31" s="336"/>
      <c r="AB31" s="336"/>
      <c r="AC31" s="32"/>
      <c r="AD31" s="336"/>
      <c r="AE31" s="336"/>
      <c r="AF31" s="337"/>
      <c r="AG31" s="334"/>
    </row>
    <row r="32" spans="2:33" ht="9" customHeight="1" x14ac:dyDescent="0.25">
      <c r="B32" s="47"/>
      <c r="C32" s="48"/>
      <c r="D32" s="215"/>
      <c r="E32" s="49"/>
      <c r="F32" s="49"/>
      <c r="G32" s="49"/>
      <c r="H32" s="49"/>
      <c r="I32" s="49"/>
      <c r="J32" s="50"/>
      <c r="K32" s="50"/>
      <c r="L32" s="50"/>
      <c r="M32" s="49"/>
      <c r="N32" s="50"/>
      <c r="O32" s="49"/>
      <c r="P32" s="49"/>
      <c r="Q32" s="49"/>
      <c r="R32" s="51"/>
      <c r="S32" s="48"/>
      <c r="T32" s="51"/>
      <c r="U32" s="68"/>
      <c r="V32" s="48"/>
      <c r="W32" s="51"/>
      <c r="X32" s="51"/>
      <c r="Y32" s="51"/>
      <c r="Z32" s="48"/>
      <c r="AA32" s="51"/>
      <c r="AB32" s="51"/>
      <c r="AC32" s="48"/>
      <c r="AD32" s="51"/>
      <c r="AE32" s="51"/>
      <c r="AF32" s="134"/>
      <c r="AG32" s="138"/>
    </row>
    <row r="33" spans="2:35" ht="19.5" customHeight="1" x14ac:dyDescent="0.25">
      <c r="B33" s="34" t="s">
        <v>42</v>
      </c>
      <c r="C33" s="32"/>
      <c r="D33" s="217" t="s">
        <v>293</v>
      </c>
      <c r="E33" s="33" t="s">
        <v>71</v>
      </c>
      <c r="F33" s="200" t="s">
        <v>114</v>
      </c>
      <c r="G33" s="87" t="s">
        <v>99</v>
      </c>
      <c r="H33" s="35"/>
      <c r="I33" s="36"/>
      <c r="J33" s="444" t="s">
        <v>127</v>
      </c>
      <c r="K33" s="435" t="s">
        <v>139</v>
      </c>
      <c r="L33" s="81" t="s">
        <v>131</v>
      </c>
      <c r="M33" s="36"/>
      <c r="N33" s="41" t="s">
        <v>122</v>
      </c>
      <c r="O33" s="42" t="s">
        <v>82</v>
      </c>
      <c r="P33" s="44" t="s">
        <v>193</v>
      </c>
      <c r="R33" s="42" t="s">
        <v>93</v>
      </c>
      <c r="S33" s="32"/>
      <c r="T33" s="70" t="s">
        <v>164</v>
      </c>
      <c r="U33" s="67">
        <v>42953</v>
      </c>
      <c r="V33" s="32"/>
      <c r="W33" s="76">
        <v>2.0299999999999999E-2</v>
      </c>
      <c r="X33" s="76">
        <v>4.07E-2</v>
      </c>
      <c r="Y33" s="76" t="s">
        <v>121</v>
      </c>
      <c r="Z33" s="32"/>
      <c r="AA33" s="71">
        <v>0.92</v>
      </c>
      <c r="AB33" s="71">
        <v>0.92</v>
      </c>
      <c r="AC33" s="32"/>
      <c r="AD33" s="71">
        <v>0.09</v>
      </c>
      <c r="AE33" s="71">
        <v>0.04</v>
      </c>
      <c r="AF33" s="132" t="s">
        <v>231</v>
      </c>
      <c r="AG33" s="136">
        <f>10/37</f>
        <v>0.27027027027027029</v>
      </c>
    </row>
    <row r="34" spans="2:35" ht="21.75" customHeight="1" x14ac:dyDescent="0.25">
      <c r="B34" s="34" t="s">
        <v>42</v>
      </c>
      <c r="C34" s="32"/>
      <c r="D34" s="217" t="s">
        <v>293</v>
      </c>
      <c r="E34" s="33" t="s">
        <v>47</v>
      </c>
      <c r="F34" s="200" t="s">
        <v>115</v>
      </c>
      <c r="G34" s="87" t="s">
        <v>99</v>
      </c>
      <c r="H34" s="35"/>
      <c r="I34" s="36"/>
      <c r="J34" s="445"/>
      <c r="K34" s="436"/>
      <c r="L34" s="81" t="s">
        <v>130</v>
      </c>
      <c r="M34" s="36"/>
      <c r="N34" s="41" t="s">
        <v>116</v>
      </c>
      <c r="O34" s="42" t="s">
        <v>82</v>
      </c>
      <c r="P34" s="52" t="s">
        <v>118</v>
      </c>
      <c r="Q34" s="56" t="s">
        <v>119</v>
      </c>
      <c r="R34" s="42" t="s">
        <v>93</v>
      </c>
      <c r="S34" s="32"/>
      <c r="T34" s="77" t="s">
        <v>163</v>
      </c>
      <c r="U34" s="67">
        <v>42953</v>
      </c>
      <c r="V34" s="32"/>
      <c r="W34" s="76">
        <v>3.7000000000000002E-3</v>
      </c>
      <c r="X34" s="76">
        <v>7.4000000000000003E-3</v>
      </c>
      <c r="Y34" s="76" t="s">
        <v>121</v>
      </c>
      <c r="Z34" s="32"/>
      <c r="AA34" s="71">
        <v>0.67</v>
      </c>
      <c r="AB34" s="71">
        <v>0.67</v>
      </c>
      <c r="AC34" s="32"/>
      <c r="AD34" s="71">
        <v>0.12</v>
      </c>
      <c r="AE34" s="71">
        <v>0.02</v>
      </c>
      <c r="AF34" s="132" t="s">
        <v>232</v>
      </c>
      <c r="AG34" s="136">
        <f>6/17</f>
        <v>0.35294117647058826</v>
      </c>
    </row>
    <row r="35" spans="2:35" ht="15.75" x14ac:dyDescent="0.25">
      <c r="B35" s="113" t="s">
        <v>42</v>
      </c>
      <c r="D35" s="217" t="s">
        <v>293</v>
      </c>
      <c r="E35" s="82" t="s">
        <v>175</v>
      </c>
      <c r="F35" s="190" t="s">
        <v>187</v>
      </c>
      <c r="G35" s="87" t="s">
        <v>99</v>
      </c>
      <c r="H35" s="79"/>
      <c r="J35" s="445"/>
      <c r="K35" s="436"/>
      <c r="L35" s="81" t="s">
        <v>189</v>
      </c>
      <c r="N35" s="41" t="s">
        <v>122</v>
      </c>
      <c r="O35" s="42" t="s">
        <v>205</v>
      </c>
      <c r="P35" s="44"/>
      <c r="R35" s="42" t="s">
        <v>93</v>
      </c>
      <c r="T35" s="33"/>
      <c r="U35" s="67">
        <v>42988</v>
      </c>
      <c r="W35" s="76">
        <v>8.6E-3</v>
      </c>
      <c r="X35" s="76">
        <v>1.7299999999999999E-2</v>
      </c>
      <c r="Y35" s="76" t="s">
        <v>121</v>
      </c>
      <c r="AA35" s="71">
        <v>1</v>
      </c>
      <c r="AB35" s="71">
        <v>1</v>
      </c>
      <c r="AC35" s="72"/>
      <c r="AD35" s="71">
        <v>0</v>
      </c>
      <c r="AE35" s="71">
        <v>0</v>
      </c>
      <c r="AF35" s="132" t="s">
        <v>229</v>
      </c>
      <c r="AG35" s="136">
        <v>0</v>
      </c>
    </row>
    <row r="36" spans="2:35" ht="19.5" x14ac:dyDescent="0.25">
      <c r="B36" s="439" t="s">
        <v>42</v>
      </c>
      <c r="D36" s="438" t="s">
        <v>293</v>
      </c>
      <c r="E36" s="437" t="s">
        <v>173</v>
      </c>
      <c r="F36" s="437" t="s">
        <v>210</v>
      </c>
      <c r="G36" s="421" t="s">
        <v>99</v>
      </c>
      <c r="H36" s="79"/>
      <c r="J36" s="445"/>
      <c r="K36" s="436"/>
      <c r="L36" s="424" t="s">
        <v>191</v>
      </c>
      <c r="N36" s="43" t="s">
        <v>142</v>
      </c>
      <c r="O36" s="42" t="s">
        <v>82</v>
      </c>
      <c r="P36" s="44" t="s">
        <v>213</v>
      </c>
      <c r="R36" s="42" t="s">
        <v>93</v>
      </c>
      <c r="T36" s="33"/>
      <c r="U36" s="443">
        <v>42988</v>
      </c>
      <c r="W36" s="442">
        <v>1.15E-2</v>
      </c>
      <c r="X36" s="442">
        <v>2.3099999999999999E-2</v>
      </c>
      <c r="Y36" s="442" t="s">
        <v>121</v>
      </c>
      <c r="AA36" s="472">
        <v>0.92</v>
      </c>
      <c r="AB36" s="472">
        <v>1</v>
      </c>
      <c r="AC36" s="72"/>
      <c r="AD36" s="472">
        <v>0.06</v>
      </c>
      <c r="AE36" s="472">
        <v>0.04</v>
      </c>
      <c r="AF36" s="475" t="s">
        <v>233</v>
      </c>
      <c r="AG36" s="471">
        <f>2/11</f>
        <v>0.18181818181818182</v>
      </c>
    </row>
    <row r="37" spans="2:35" ht="19.5" x14ac:dyDescent="0.25">
      <c r="B37" s="439"/>
      <c r="D37" s="438"/>
      <c r="E37" s="437"/>
      <c r="F37" s="437"/>
      <c r="G37" s="421"/>
      <c r="H37" s="85"/>
      <c r="J37" s="445"/>
      <c r="K37" s="436"/>
      <c r="L37" s="428"/>
      <c r="N37" s="43" t="s">
        <v>143</v>
      </c>
      <c r="O37" s="42" t="s">
        <v>5</v>
      </c>
      <c r="P37" s="44" t="s">
        <v>185</v>
      </c>
      <c r="R37" s="42" t="s">
        <v>93</v>
      </c>
      <c r="T37" s="33"/>
      <c r="U37" s="443"/>
      <c r="W37" s="442"/>
      <c r="X37" s="442"/>
      <c r="Y37" s="442"/>
      <c r="AA37" s="472"/>
      <c r="AB37" s="472"/>
      <c r="AC37" s="72"/>
      <c r="AD37" s="472"/>
      <c r="AE37" s="472"/>
      <c r="AF37" s="475"/>
      <c r="AG37" s="471"/>
    </row>
    <row r="38" spans="2:35" ht="21" customHeight="1" x14ac:dyDescent="0.25">
      <c r="B38" s="439"/>
      <c r="D38" s="438"/>
      <c r="E38" s="437"/>
      <c r="F38" s="437"/>
      <c r="G38" s="421"/>
      <c r="H38" s="85"/>
      <c r="J38" s="445"/>
      <c r="K38" s="436"/>
      <c r="L38" s="428"/>
      <c r="N38" s="43" t="s">
        <v>212</v>
      </c>
      <c r="O38" s="42" t="s">
        <v>82</v>
      </c>
      <c r="P38" s="44" t="s">
        <v>186</v>
      </c>
      <c r="R38" s="42" t="s">
        <v>93</v>
      </c>
      <c r="T38" s="33"/>
      <c r="U38" s="443"/>
      <c r="W38" s="442"/>
      <c r="X38" s="442"/>
      <c r="Y38" s="442"/>
      <c r="AA38" s="472"/>
      <c r="AB38" s="472"/>
      <c r="AC38" s="72"/>
      <c r="AD38" s="472"/>
      <c r="AE38" s="472"/>
      <c r="AF38" s="475"/>
      <c r="AG38" s="471"/>
    </row>
    <row r="39" spans="2:35" ht="28.5" x14ac:dyDescent="0.25">
      <c r="B39" s="439"/>
      <c r="D39" s="438"/>
      <c r="E39" s="437"/>
      <c r="F39" s="437"/>
      <c r="G39" s="421"/>
      <c r="H39" s="85"/>
      <c r="J39" s="445"/>
      <c r="K39" s="436"/>
      <c r="L39" s="425"/>
      <c r="N39" s="43" t="s">
        <v>211</v>
      </c>
      <c r="O39" s="42" t="s">
        <v>82</v>
      </c>
      <c r="P39" s="44" t="s">
        <v>192</v>
      </c>
      <c r="R39" s="42" t="s">
        <v>93</v>
      </c>
      <c r="T39" s="33"/>
      <c r="U39" s="443"/>
      <c r="W39" s="442"/>
      <c r="X39" s="442"/>
      <c r="Y39" s="442"/>
      <c r="AA39" s="472"/>
      <c r="AB39" s="472"/>
      <c r="AC39" s="72"/>
      <c r="AD39" s="472"/>
      <c r="AE39" s="472"/>
      <c r="AF39" s="475"/>
      <c r="AG39" s="471"/>
    </row>
    <row r="40" spans="2:35" ht="19.5" x14ac:dyDescent="0.25">
      <c r="B40" s="34" t="s">
        <v>42</v>
      </c>
      <c r="D40" s="217" t="s">
        <v>293</v>
      </c>
      <c r="E40" s="150" t="s">
        <v>252</v>
      </c>
      <c r="F40" s="190" t="s">
        <v>267</v>
      </c>
      <c r="G40" s="151" t="s">
        <v>99</v>
      </c>
      <c r="H40" s="153"/>
      <c r="J40" s="445"/>
      <c r="K40" s="436"/>
      <c r="L40" s="162" t="s">
        <v>263</v>
      </c>
      <c r="N40" s="43" t="s">
        <v>143</v>
      </c>
      <c r="O40" s="42" t="s">
        <v>5</v>
      </c>
      <c r="P40" s="44" t="s">
        <v>185</v>
      </c>
      <c r="R40" s="42" t="s">
        <v>93</v>
      </c>
      <c r="T40" s="154"/>
      <c r="U40" s="188">
        <v>43067</v>
      </c>
      <c r="W40" s="147"/>
      <c r="X40" s="147"/>
      <c r="Y40" s="147"/>
      <c r="AA40" s="148"/>
      <c r="AB40" s="148"/>
      <c r="AC40" s="72"/>
      <c r="AD40" s="148"/>
      <c r="AE40" s="148"/>
      <c r="AF40" s="149"/>
      <c r="AG40" s="146"/>
    </row>
    <row r="41" spans="2:35" ht="19.5" x14ac:dyDescent="0.25">
      <c r="B41" s="34" t="s">
        <v>42</v>
      </c>
      <c r="D41" s="217" t="s">
        <v>293</v>
      </c>
      <c r="E41" s="150" t="s">
        <v>251</v>
      </c>
      <c r="F41" s="200" t="s">
        <v>266</v>
      </c>
      <c r="G41" s="151" t="s">
        <v>99</v>
      </c>
      <c r="H41" s="153"/>
      <c r="J41" s="446"/>
      <c r="K41" s="436"/>
      <c r="L41" s="162" t="s">
        <v>275</v>
      </c>
      <c r="N41" s="43" t="s">
        <v>122</v>
      </c>
      <c r="O41" s="42" t="s">
        <v>82</v>
      </c>
      <c r="P41" s="44" t="s">
        <v>193</v>
      </c>
      <c r="R41" s="42" t="s">
        <v>93</v>
      </c>
      <c r="T41" s="154"/>
      <c r="U41" s="166">
        <v>43053</v>
      </c>
      <c r="W41" s="147"/>
      <c r="X41" s="147"/>
      <c r="Y41" s="147"/>
      <c r="AA41" s="148"/>
      <c r="AB41" s="148"/>
      <c r="AC41" s="72"/>
      <c r="AD41" s="148"/>
      <c r="AE41" s="148"/>
      <c r="AF41" s="149"/>
      <c r="AG41" s="146"/>
    </row>
    <row r="42" spans="2:35" ht="15.75" customHeight="1" x14ac:dyDescent="0.25">
      <c r="B42" s="34" t="s">
        <v>42</v>
      </c>
      <c r="C42" s="32"/>
      <c r="D42" s="217" t="s">
        <v>293</v>
      </c>
      <c r="E42" s="33" t="s">
        <v>101</v>
      </c>
      <c r="F42" s="200" t="s">
        <v>101</v>
      </c>
      <c r="G42" s="88" t="s">
        <v>100</v>
      </c>
      <c r="H42" s="35"/>
      <c r="I42" s="36"/>
      <c r="J42" s="424" t="s">
        <v>128</v>
      </c>
      <c r="K42" s="436"/>
      <c r="L42" s="81" t="s">
        <v>98</v>
      </c>
      <c r="M42" s="36"/>
      <c r="N42" s="41" t="s">
        <v>97</v>
      </c>
      <c r="O42" s="42" t="s">
        <v>5</v>
      </c>
      <c r="P42" s="44" t="s">
        <v>323</v>
      </c>
      <c r="Q42" s="45" t="s">
        <v>83</v>
      </c>
      <c r="R42" s="42" t="s">
        <v>93</v>
      </c>
      <c r="S42" s="32"/>
      <c r="T42" s="33"/>
      <c r="U42" s="67">
        <v>42953</v>
      </c>
      <c r="V42" s="32"/>
      <c r="W42" s="447" t="s">
        <v>149</v>
      </c>
      <c r="X42" s="448"/>
      <c r="Y42" s="448"/>
      <c r="Z42" s="32"/>
      <c r="AA42" s="71">
        <v>1</v>
      </c>
      <c r="AB42" s="71">
        <v>1</v>
      </c>
      <c r="AC42" s="72"/>
      <c r="AD42" s="71">
        <v>0</v>
      </c>
      <c r="AE42" s="71">
        <v>0</v>
      </c>
      <c r="AF42" s="132" t="s">
        <v>229</v>
      </c>
      <c r="AG42" s="136">
        <v>0</v>
      </c>
    </row>
    <row r="43" spans="2:35" ht="15.75" x14ac:dyDescent="0.25">
      <c r="B43" s="80" t="s">
        <v>42</v>
      </c>
      <c r="D43" s="217" t="s">
        <v>293</v>
      </c>
      <c r="E43" s="82" t="s">
        <v>90</v>
      </c>
      <c r="F43" s="200" t="s">
        <v>126</v>
      </c>
      <c r="G43" s="88" t="s">
        <v>100</v>
      </c>
      <c r="H43" s="78"/>
      <c r="J43" s="428"/>
      <c r="K43" s="436"/>
      <c r="L43" s="81" t="s">
        <v>129</v>
      </c>
      <c r="N43" s="41" t="s">
        <v>117</v>
      </c>
      <c r="O43" s="42" t="s">
        <v>82</v>
      </c>
      <c r="P43" s="52" t="s">
        <v>125</v>
      </c>
      <c r="R43" s="42" t="s">
        <v>93</v>
      </c>
      <c r="T43" s="33"/>
      <c r="U43" s="67">
        <v>42953</v>
      </c>
      <c r="W43" s="76">
        <v>2.5000000000000001E-3</v>
      </c>
      <c r="X43" s="76" t="s">
        <v>121</v>
      </c>
      <c r="Y43" s="76">
        <v>4.8999999999999998E-3</v>
      </c>
      <c r="AA43" s="71">
        <v>1</v>
      </c>
      <c r="AB43" s="71">
        <v>1</v>
      </c>
      <c r="AC43" s="72"/>
      <c r="AD43" s="71">
        <v>0</v>
      </c>
      <c r="AE43" s="71">
        <v>0</v>
      </c>
      <c r="AF43" s="132" t="s">
        <v>229</v>
      </c>
      <c r="AG43" s="136">
        <v>0</v>
      </c>
    </row>
    <row r="44" spans="2:35" ht="15.75" x14ac:dyDescent="0.25">
      <c r="B44" s="113" t="s">
        <v>42</v>
      </c>
      <c r="D44" s="217" t="s">
        <v>293</v>
      </c>
      <c r="E44" s="109" t="s">
        <v>174</v>
      </c>
      <c r="F44" s="200" t="s">
        <v>216</v>
      </c>
      <c r="G44" s="110" t="s">
        <v>100</v>
      </c>
      <c r="H44" s="79"/>
      <c r="J44" s="428"/>
      <c r="K44" s="436"/>
      <c r="L44" s="172" t="s">
        <v>411</v>
      </c>
      <c r="N44" s="43" t="s">
        <v>217</v>
      </c>
      <c r="O44" s="42" t="s">
        <v>82</v>
      </c>
      <c r="P44" s="52"/>
      <c r="R44" s="42" t="s">
        <v>93</v>
      </c>
      <c r="T44" s="33"/>
      <c r="U44" s="111">
        <v>42988</v>
      </c>
      <c r="W44" s="447" t="s">
        <v>149</v>
      </c>
      <c r="X44" s="448"/>
      <c r="Y44" s="448"/>
      <c r="AA44" s="112">
        <v>1</v>
      </c>
      <c r="AB44" s="112">
        <v>1</v>
      </c>
      <c r="AC44" s="72"/>
      <c r="AD44" s="112">
        <v>0</v>
      </c>
      <c r="AE44" s="112">
        <v>0</v>
      </c>
      <c r="AF44" s="132" t="s">
        <v>229</v>
      </c>
      <c r="AG44" s="136">
        <v>0</v>
      </c>
    </row>
    <row r="45" spans="2:35" ht="15.75" x14ac:dyDescent="0.25">
      <c r="B45" s="152" t="s">
        <v>42</v>
      </c>
      <c r="D45" s="217" t="s">
        <v>293</v>
      </c>
      <c r="E45" s="150" t="s">
        <v>253</v>
      </c>
      <c r="F45" s="200" t="s">
        <v>268</v>
      </c>
      <c r="G45" s="110" t="s">
        <v>100</v>
      </c>
      <c r="H45" s="153"/>
      <c r="J45" s="428"/>
      <c r="K45" s="436"/>
      <c r="L45" s="368" t="s">
        <v>411</v>
      </c>
      <c r="N45" s="43" t="s">
        <v>217</v>
      </c>
      <c r="O45" s="42" t="s">
        <v>82</v>
      </c>
      <c r="P45" s="52"/>
      <c r="R45" s="42" t="s">
        <v>93</v>
      </c>
      <c r="T45" s="154"/>
      <c r="U45" s="155">
        <v>43053</v>
      </c>
      <c r="W45" s="157"/>
      <c r="X45" s="157"/>
      <c r="Y45" s="157"/>
      <c r="AA45" s="158"/>
      <c r="AB45" s="158"/>
      <c r="AC45" s="72"/>
      <c r="AD45" s="158"/>
      <c r="AE45" s="158"/>
      <c r="AF45" s="160"/>
      <c r="AG45" s="159"/>
    </row>
    <row r="46" spans="2:35" ht="15.75" x14ac:dyDescent="0.25">
      <c r="B46" s="152" t="s">
        <v>42</v>
      </c>
      <c r="D46" s="217" t="s">
        <v>293</v>
      </c>
      <c r="E46" s="150" t="s">
        <v>254</v>
      </c>
      <c r="F46" s="190" t="s">
        <v>269</v>
      </c>
      <c r="G46" s="110" t="s">
        <v>100</v>
      </c>
      <c r="H46" s="153"/>
      <c r="J46" s="428"/>
      <c r="K46" s="436"/>
      <c r="L46" s="161" t="s">
        <v>258</v>
      </c>
      <c r="N46" s="43" t="s">
        <v>117</v>
      </c>
      <c r="O46" s="42" t="s">
        <v>82</v>
      </c>
      <c r="P46" s="52" t="s">
        <v>125</v>
      </c>
      <c r="R46" s="42" t="s">
        <v>93</v>
      </c>
      <c r="T46" s="154"/>
      <c r="U46" s="155">
        <v>43067</v>
      </c>
      <c r="W46" s="157"/>
      <c r="X46" s="157"/>
      <c r="Y46" s="157"/>
      <c r="AA46" s="158"/>
      <c r="AB46" s="158"/>
      <c r="AC46" s="72"/>
      <c r="AD46" s="158"/>
      <c r="AE46" s="158"/>
      <c r="AF46" s="160"/>
      <c r="AG46" s="159"/>
    </row>
    <row r="47" spans="2:35" ht="9" customHeight="1" x14ac:dyDescent="0.25">
      <c r="B47" s="47"/>
      <c r="C47" s="48"/>
      <c r="D47" s="215"/>
      <c r="E47" s="49"/>
      <c r="F47" s="49"/>
      <c r="G47" s="49"/>
      <c r="H47" s="49"/>
      <c r="I47" s="49"/>
      <c r="J47" s="50"/>
      <c r="K47" s="50"/>
      <c r="L47" s="50"/>
      <c r="M47" s="49"/>
      <c r="N47" s="50"/>
      <c r="O47" s="49"/>
      <c r="P47" s="49"/>
      <c r="Q47" s="49"/>
      <c r="R47" s="51"/>
      <c r="S47" s="48"/>
      <c r="T47" s="51"/>
      <c r="U47" s="68"/>
      <c r="V47" s="48"/>
      <c r="W47" s="51"/>
      <c r="X47" s="51"/>
      <c r="Y47" s="51"/>
      <c r="Z47" s="48"/>
      <c r="AA47" s="51"/>
      <c r="AB47" s="51"/>
      <c r="AC47" s="48"/>
      <c r="AD47" s="51"/>
      <c r="AE47" s="51"/>
      <c r="AF47" s="134"/>
      <c r="AG47" s="138"/>
    </row>
    <row r="48" spans="2:35" ht="19.5" customHeight="1" x14ac:dyDescent="0.25">
      <c r="B48" s="114" t="s">
        <v>64</v>
      </c>
      <c r="C48" s="32"/>
      <c r="D48" s="217" t="s">
        <v>293</v>
      </c>
      <c r="E48" s="33" t="s">
        <v>123</v>
      </c>
      <c r="F48" s="200" t="s">
        <v>177</v>
      </c>
      <c r="G48" s="87" t="s">
        <v>99</v>
      </c>
      <c r="H48" s="35"/>
      <c r="I48" s="36"/>
      <c r="J48" s="424" t="s">
        <v>204</v>
      </c>
      <c r="K48" s="435" t="s">
        <v>139</v>
      </c>
      <c r="L48" s="108" t="s">
        <v>235</v>
      </c>
      <c r="M48" s="36"/>
      <c r="N48" s="41" t="s">
        <v>80</v>
      </c>
      <c r="O48" s="42" t="s">
        <v>206</v>
      </c>
      <c r="P48" s="44" t="s">
        <v>207</v>
      </c>
      <c r="Q48" s="5"/>
      <c r="R48" s="42" t="s">
        <v>93</v>
      </c>
      <c r="S48" s="32"/>
      <c r="T48" s="70" t="s">
        <v>154</v>
      </c>
      <c r="U48" s="67">
        <v>42988</v>
      </c>
      <c r="V48" s="32"/>
      <c r="W48" s="69">
        <v>0.11749999999999999</v>
      </c>
      <c r="X48" s="69">
        <v>0.12409438775510205</v>
      </c>
      <c r="Y48" s="69" t="s">
        <v>121</v>
      </c>
      <c r="Z48" s="32"/>
      <c r="AA48" s="71">
        <v>1</v>
      </c>
      <c r="AB48" s="71">
        <v>1</v>
      </c>
      <c r="AC48" s="32"/>
      <c r="AD48" s="71">
        <v>3.0000000000000027E-2</v>
      </c>
      <c r="AE48" s="69"/>
      <c r="AF48" s="132" t="s">
        <v>234</v>
      </c>
      <c r="AG48" s="136">
        <f>1/5</f>
        <v>0.2</v>
      </c>
      <c r="AH48" s="130"/>
      <c r="AI48" s="130"/>
    </row>
    <row r="49" spans="2:35" ht="19.5" x14ac:dyDescent="0.25">
      <c r="B49" s="114" t="s">
        <v>64</v>
      </c>
      <c r="C49" s="32"/>
      <c r="D49" s="217" t="s">
        <v>293</v>
      </c>
      <c r="E49" s="33" t="s">
        <v>124</v>
      </c>
      <c r="F49" s="200" t="s">
        <v>219</v>
      </c>
      <c r="G49" s="87" t="s">
        <v>99</v>
      </c>
      <c r="H49" s="35"/>
      <c r="I49" s="36"/>
      <c r="J49" s="428"/>
      <c r="K49" s="436"/>
      <c r="L49" s="55" t="s">
        <v>264</v>
      </c>
      <c r="M49" s="36"/>
      <c r="N49" s="41" t="s">
        <v>80</v>
      </c>
      <c r="O49" s="42" t="s">
        <v>206</v>
      </c>
      <c r="P49" s="44" t="s">
        <v>207</v>
      </c>
      <c r="Q49" s="5"/>
      <c r="R49" s="42" t="s">
        <v>93</v>
      </c>
      <c r="S49" s="32"/>
      <c r="T49" s="70" t="s">
        <v>155</v>
      </c>
      <c r="U49" s="67">
        <v>42988</v>
      </c>
      <c r="V49" s="32"/>
      <c r="W49" s="69">
        <v>9.4999999999999998E-3</v>
      </c>
      <c r="X49" s="117">
        <v>1.0065476190476191E-2</v>
      </c>
      <c r="Y49" s="69" t="s">
        <v>121</v>
      </c>
      <c r="Z49" s="32"/>
      <c r="AA49" s="71">
        <v>0.95</v>
      </c>
      <c r="AB49" s="71">
        <v>0.95</v>
      </c>
      <c r="AC49" s="32"/>
      <c r="AD49" s="71">
        <v>9.9999999999999978E-2</v>
      </c>
      <c r="AE49" s="69"/>
      <c r="AF49" s="132" t="s">
        <v>229</v>
      </c>
      <c r="AG49" s="136">
        <v>0</v>
      </c>
      <c r="AH49" s="129"/>
      <c r="AI49" s="129"/>
    </row>
    <row r="50" spans="2:35" ht="19.5" x14ac:dyDescent="0.25">
      <c r="B50" s="114" t="s">
        <v>64</v>
      </c>
      <c r="C50" s="32"/>
      <c r="D50" s="217" t="s">
        <v>293</v>
      </c>
      <c r="E50" s="33" t="s">
        <v>141</v>
      </c>
      <c r="F50" s="200" t="s">
        <v>178</v>
      </c>
      <c r="G50" s="87" t="s">
        <v>99</v>
      </c>
      <c r="H50" s="35"/>
      <c r="I50" s="36"/>
      <c r="J50" s="428"/>
      <c r="K50" s="436"/>
      <c r="L50" s="118" t="s">
        <v>188</v>
      </c>
      <c r="M50" s="36"/>
      <c r="N50" s="41" t="s">
        <v>80</v>
      </c>
      <c r="O50" s="42" t="s">
        <v>206</v>
      </c>
      <c r="P50" s="44" t="s">
        <v>207</v>
      </c>
      <c r="Q50" s="5"/>
      <c r="R50" s="42" t="s">
        <v>93</v>
      </c>
      <c r="S50" s="32"/>
      <c r="T50" s="70" t="s">
        <v>156</v>
      </c>
      <c r="U50" s="67">
        <v>42988</v>
      </c>
      <c r="V50" s="32"/>
      <c r="W50" s="447" t="s">
        <v>149</v>
      </c>
      <c r="X50" s="448"/>
      <c r="Y50" s="448"/>
      <c r="Z50" s="32"/>
      <c r="AA50" s="71">
        <f>19/24</f>
        <v>0.79166666666666663</v>
      </c>
      <c r="AB50" s="71">
        <f>21/24</f>
        <v>0.875</v>
      </c>
      <c r="AC50" s="32"/>
      <c r="AD50" s="71">
        <v>0</v>
      </c>
      <c r="AE50" s="116">
        <v>0</v>
      </c>
      <c r="AF50" s="132" t="s">
        <v>241</v>
      </c>
      <c r="AG50" s="136"/>
      <c r="AH50" s="129"/>
      <c r="AI50" s="129"/>
    </row>
    <row r="51" spans="2:35" ht="19.5" x14ac:dyDescent="0.25">
      <c r="B51" s="34" t="s">
        <v>64</v>
      </c>
      <c r="D51" s="359" t="s">
        <v>296</v>
      </c>
      <c r="E51" s="33" t="s">
        <v>133</v>
      </c>
      <c r="F51" s="200" t="s">
        <v>133</v>
      </c>
      <c r="G51" s="87" t="s">
        <v>99</v>
      </c>
      <c r="J51" s="428"/>
      <c r="K51" s="436"/>
      <c r="L51" s="118" t="s">
        <v>131</v>
      </c>
      <c r="N51" s="41" t="s">
        <v>80</v>
      </c>
      <c r="O51" s="42" t="s">
        <v>206</v>
      </c>
      <c r="P51" s="44" t="s">
        <v>207</v>
      </c>
      <c r="Q51" s="5"/>
      <c r="R51" s="42" t="s">
        <v>93</v>
      </c>
      <c r="T51" s="70" t="s">
        <v>157</v>
      </c>
      <c r="U51" s="67"/>
      <c r="W51" s="69">
        <v>0.16619999999999999</v>
      </c>
      <c r="X51" s="117">
        <v>0.17560000000000001</v>
      </c>
      <c r="Y51" s="69" t="s">
        <v>121</v>
      </c>
      <c r="AA51" s="71">
        <v>0.96</v>
      </c>
      <c r="AB51" s="71">
        <v>0.96</v>
      </c>
      <c r="AD51" s="71">
        <f>9/269</f>
        <v>3.3457249070631967E-2</v>
      </c>
      <c r="AE51" s="69"/>
      <c r="AF51" s="132" t="s">
        <v>236</v>
      </c>
      <c r="AG51" s="136">
        <f>11/121</f>
        <v>9.0909090909090912E-2</v>
      </c>
      <c r="AH51" s="129"/>
      <c r="AI51" s="129"/>
    </row>
    <row r="52" spans="2:35" ht="19.5" x14ac:dyDescent="0.25">
      <c r="B52" s="420" t="s">
        <v>64</v>
      </c>
      <c r="D52" s="487" t="s">
        <v>294</v>
      </c>
      <c r="E52" s="437" t="s">
        <v>151</v>
      </c>
      <c r="F52" s="437" t="s">
        <v>314</v>
      </c>
      <c r="G52" s="421" t="s">
        <v>99</v>
      </c>
      <c r="J52" s="428"/>
      <c r="K52" s="436"/>
      <c r="L52" s="426" t="s">
        <v>130</v>
      </c>
      <c r="N52" s="41" t="s">
        <v>80</v>
      </c>
      <c r="O52" s="42" t="s">
        <v>206</v>
      </c>
      <c r="P52" s="44" t="s">
        <v>207</v>
      </c>
      <c r="Q52" s="5"/>
      <c r="R52" s="42" t="s">
        <v>93</v>
      </c>
      <c r="T52" s="70" t="s">
        <v>158</v>
      </c>
      <c r="U52" s="67"/>
      <c r="W52" s="69">
        <v>0.2447</v>
      </c>
      <c r="X52" s="117">
        <v>0.25850646788990828</v>
      </c>
      <c r="Y52" s="69" t="s">
        <v>121</v>
      </c>
      <c r="AA52" s="71">
        <v>1</v>
      </c>
      <c r="AB52" s="71">
        <v>1</v>
      </c>
      <c r="AD52" s="71">
        <v>0.03</v>
      </c>
      <c r="AE52" s="69">
        <f>3/549</f>
        <v>5.4644808743169399E-3</v>
      </c>
      <c r="AF52" s="132" t="s">
        <v>237</v>
      </c>
      <c r="AG52" s="136">
        <f>9/67</f>
        <v>0.13432835820895522</v>
      </c>
      <c r="AH52" s="129"/>
      <c r="AI52" s="129"/>
    </row>
    <row r="53" spans="2:35" ht="37.5" x14ac:dyDescent="0.25">
      <c r="B53" s="420"/>
      <c r="D53" s="487"/>
      <c r="E53" s="437"/>
      <c r="F53" s="437"/>
      <c r="G53" s="421"/>
      <c r="J53" s="428"/>
      <c r="K53" s="436"/>
      <c r="L53" s="479"/>
      <c r="N53" s="41" t="s">
        <v>318</v>
      </c>
      <c r="O53" s="42" t="s">
        <v>315</v>
      </c>
      <c r="P53" s="44" t="s">
        <v>320</v>
      </c>
      <c r="Q53" s="5"/>
      <c r="R53" s="42" t="s">
        <v>93</v>
      </c>
      <c r="T53" s="70"/>
      <c r="U53" s="443">
        <v>43125</v>
      </c>
      <c r="W53" s="242"/>
      <c r="X53" s="242"/>
      <c r="Y53" s="242"/>
      <c r="AA53" s="243"/>
      <c r="AB53" s="243"/>
      <c r="AD53" s="243"/>
      <c r="AE53" s="242"/>
      <c r="AF53" s="244"/>
      <c r="AG53" s="241"/>
      <c r="AH53" s="129"/>
      <c r="AI53" s="129"/>
    </row>
    <row r="54" spans="2:35" ht="15.75" x14ac:dyDescent="0.25">
      <c r="B54" s="420"/>
      <c r="D54" s="487"/>
      <c r="E54" s="437"/>
      <c r="F54" s="437"/>
      <c r="G54" s="421"/>
      <c r="J54" s="428"/>
      <c r="K54" s="436"/>
      <c r="L54" s="427"/>
      <c r="N54" s="41" t="s">
        <v>317</v>
      </c>
      <c r="O54" s="42" t="s">
        <v>316</v>
      </c>
      <c r="P54" s="44" t="s">
        <v>319</v>
      </c>
      <c r="Q54" s="5"/>
      <c r="R54" s="42" t="s">
        <v>93</v>
      </c>
      <c r="T54" s="70"/>
      <c r="U54" s="443"/>
      <c r="W54" s="242"/>
      <c r="X54" s="242"/>
      <c r="Y54" s="242"/>
      <c r="AA54" s="243"/>
      <c r="AB54" s="243"/>
      <c r="AD54" s="243"/>
      <c r="AE54" s="242"/>
      <c r="AF54" s="244"/>
      <c r="AG54" s="241"/>
      <c r="AH54" s="129"/>
      <c r="AI54" s="129"/>
    </row>
    <row r="55" spans="2:35" ht="15.75" x14ac:dyDescent="0.25">
      <c r="B55" s="34" t="s">
        <v>64</v>
      </c>
      <c r="D55" s="379" t="s">
        <v>398</v>
      </c>
      <c r="E55" s="375" t="s">
        <v>415</v>
      </c>
      <c r="F55" s="375"/>
      <c r="G55" s="378"/>
      <c r="J55" s="428"/>
      <c r="K55" s="436"/>
      <c r="L55" s="377"/>
      <c r="N55" s="41"/>
      <c r="O55" s="42"/>
      <c r="P55" s="44"/>
      <c r="Q55" s="5"/>
      <c r="R55" s="42"/>
      <c r="T55" s="70"/>
      <c r="U55" s="384"/>
      <c r="W55" s="381"/>
      <c r="X55" s="381"/>
      <c r="Y55" s="381"/>
      <c r="AA55" s="382"/>
      <c r="AB55" s="382"/>
      <c r="AD55" s="382"/>
      <c r="AE55" s="381"/>
      <c r="AF55" s="380"/>
      <c r="AG55" s="385"/>
      <c r="AH55" s="129"/>
      <c r="AI55" s="129"/>
    </row>
    <row r="56" spans="2:35" ht="19.5" x14ac:dyDescent="0.25">
      <c r="B56" s="34" t="s">
        <v>64</v>
      </c>
      <c r="D56" s="217" t="s">
        <v>293</v>
      </c>
      <c r="E56" s="124" t="s">
        <v>242</v>
      </c>
      <c r="F56" s="200" t="s">
        <v>242</v>
      </c>
      <c r="G56" s="123" t="s">
        <v>99</v>
      </c>
      <c r="J56" s="428"/>
      <c r="K56" s="436"/>
      <c r="L56" s="120" t="s">
        <v>249</v>
      </c>
      <c r="N56" s="41" t="s">
        <v>80</v>
      </c>
      <c r="O56" s="42" t="s">
        <v>206</v>
      </c>
      <c r="P56" s="44" t="s">
        <v>276</v>
      </c>
      <c r="Q56" s="5"/>
      <c r="R56" s="42" t="s">
        <v>93</v>
      </c>
      <c r="T56" s="70"/>
      <c r="U56" s="121">
        <v>43061</v>
      </c>
      <c r="W56" s="122">
        <v>4.1099999999999998E-2</v>
      </c>
      <c r="X56" s="122">
        <v>4.3400000000000001E-2</v>
      </c>
      <c r="Y56" s="143" t="s">
        <v>121</v>
      </c>
      <c r="AA56" s="125"/>
      <c r="AB56" s="125"/>
      <c r="AD56" s="125"/>
      <c r="AE56" s="122"/>
      <c r="AF56" s="133"/>
      <c r="AG56" s="137"/>
      <c r="AH56" s="129"/>
      <c r="AI56" s="129"/>
    </row>
    <row r="57" spans="2:35" ht="9" customHeight="1" x14ac:dyDescent="0.25">
      <c r="B57" s="47"/>
      <c r="C57" s="48"/>
      <c r="D57" s="215"/>
      <c r="E57" s="49"/>
      <c r="F57" s="49"/>
      <c r="G57" s="49"/>
      <c r="H57" s="49"/>
      <c r="I57" s="49"/>
      <c r="J57" s="50"/>
      <c r="K57" s="50"/>
      <c r="L57" s="50"/>
      <c r="M57" s="49"/>
      <c r="N57" s="50"/>
      <c r="O57" s="49"/>
      <c r="P57" s="49"/>
      <c r="Q57" s="49"/>
      <c r="R57" s="51"/>
      <c r="S57" s="48"/>
      <c r="T57" s="51"/>
      <c r="U57" s="68"/>
      <c r="V57" s="48"/>
      <c r="W57" s="51"/>
      <c r="X57" s="51"/>
      <c r="Y57" s="51"/>
      <c r="Z57" s="48"/>
      <c r="AA57" s="51"/>
      <c r="AB57" s="51"/>
      <c r="AC57" s="48"/>
      <c r="AD57" s="51"/>
      <c r="AE57" s="51"/>
      <c r="AF57" s="134"/>
      <c r="AG57" s="138"/>
    </row>
    <row r="58" spans="2:35" ht="18" customHeight="1" x14ac:dyDescent="0.25">
      <c r="B58" s="113" t="s">
        <v>134</v>
      </c>
      <c r="C58" s="64"/>
      <c r="D58" s="217" t="s">
        <v>293</v>
      </c>
      <c r="E58" s="144" t="s">
        <v>135</v>
      </c>
      <c r="F58" s="200" t="s">
        <v>168</v>
      </c>
      <c r="G58" s="87" t="s">
        <v>99</v>
      </c>
      <c r="H58" s="35"/>
      <c r="I58" s="36"/>
      <c r="J58" s="424" t="s">
        <v>127</v>
      </c>
      <c r="K58" s="431" t="s">
        <v>171</v>
      </c>
      <c r="L58" s="91" t="s">
        <v>188</v>
      </c>
      <c r="M58" s="36"/>
      <c r="N58" s="41" t="s">
        <v>116</v>
      </c>
      <c r="O58" s="42" t="s">
        <v>82</v>
      </c>
      <c r="P58" s="52" t="s">
        <v>165</v>
      </c>
      <c r="Q58" s="5"/>
      <c r="R58" s="42" t="s">
        <v>93</v>
      </c>
      <c r="S58" s="64"/>
      <c r="U58" s="67">
        <v>42988</v>
      </c>
      <c r="W58" s="69">
        <v>2.1499999999999998E-2</v>
      </c>
      <c r="X58" s="69">
        <v>4.2299999999999997E-2</v>
      </c>
      <c r="Y58" s="69" t="s">
        <v>121</v>
      </c>
      <c r="Z58" s="64"/>
      <c r="AA58" s="71">
        <f>52/68</f>
        <v>0.76470588235294112</v>
      </c>
      <c r="AB58" s="71">
        <f>67/68</f>
        <v>0.98529411764705888</v>
      </c>
      <c r="AC58" s="64"/>
      <c r="AD58" s="71">
        <v>0.08</v>
      </c>
      <c r="AE58" s="71">
        <v>0.08</v>
      </c>
      <c r="AF58" s="132" t="s">
        <v>238</v>
      </c>
      <c r="AG58" s="136">
        <f>8/12</f>
        <v>0.66666666666666663</v>
      </c>
    </row>
    <row r="59" spans="2:35" ht="19.5" customHeight="1" x14ac:dyDescent="0.25">
      <c r="B59" s="386" t="s">
        <v>134</v>
      </c>
      <c r="C59" s="58"/>
      <c r="D59" s="388" t="s">
        <v>293</v>
      </c>
      <c r="E59" s="391" t="s">
        <v>353</v>
      </c>
      <c r="F59" s="390" t="s">
        <v>353</v>
      </c>
      <c r="G59" s="295" t="s">
        <v>99</v>
      </c>
      <c r="J59" s="428"/>
      <c r="K59" s="432"/>
      <c r="L59" s="387" t="s">
        <v>188</v>
      </c>
      <c r="N59" s="41" t="s">
        <v>144</v>
      </c>
      <c r="O59" s="42" t="s">
        <v>430</v>
      </c>
      <c r="P59" s="44"/>
      <c r="Q59" s="5"/>
      <c r="R59" s="42" t="s">
        <v>93</v>
      </c>
      <c r="S59" s="58"/>
      <c r="U59" s="389">
        <v>43158</v>
      </c>
      <c r="V59" s="58"/>
      <c r="W59" s="297">
        <v>2.9073286052009453E-2</v>
      </c>
      <c r="X59" s="297">
        <v>5.7200000000000001E-2</v>
      </c>
      <c r="Y59" s="297" t="s">
        <v>121</v>
      </c>
      <c r="Z59" s="58"/>
      <c r="AC59" s="58"/>
      <c r="AF59" s="135"/>
      <c r="AG59" s="139"/>
    </row>
    <row r="60" spans="2:35" ht="15.75" hidden="1" x14ac:dyDescent="0.25">
      <c r="B60" s="439" t="s">
        <v>134</v>
      </c>
      <c r="C60" s="58"/>
      <c r="D60" s="422" t="s">
        <v>297</v>
      </c>
      <c r="E60" s="418" t="s">
        <v>169</v>
      </c>
      <c r="F60" s="437" t="s">
        <v>179</v>
      </c>
      <c r="G60" s="421" t="s">
        <v>99</v>
      </c>
      <c r="J60" s="305"/>
      <c r="K60" s="305"/>
      <c r="L60" s="426" t="s">
        <v>190</v>
      </c>
      <c r="N60" s="41" t="s">
        <v>143</v>
      </c>
      <c r="O60" s="42" t="s">
        <v>5</v>
      </c>
      <c r="P60" s="44" t="s">
        <v>95</v>
      </c>
      <c r="Q60" s="5"/>
      <c r="R60" s="42" t="s">
        <v>93</v>
      </c>
      <c r="S60" s="58"/>
      <c r="U60" s="480"/>
      <c r="W60" s="442">
        <v>0.18479999999999999</v>
      </c>
      <c r="X60" s="442">
        <v>0.36380000000000001</v>
      </c>
      <c r="Y60" s="442" t="s">
        <v>121</v>
      </c>
      <c r="Z60" s="58"/>
      <c r="AA60" s="472">
        <f>533/550</f>
        <v>0.96909090909090911</v>
      </c>
      <c r="AB60" s="472">
        <f>533/550</f>
        <v>0.96909090909090911</v>
      </c>
      <c r="AC60" s="58"/>
      <c r="AD60" s="472">
        <v>3.4420289855072464E-2</v>
      </c>
      <c r="AE60" s="472">
        <f>10/522</f>
        <v>1.9157088122605363E-2</v>
      </c>
      <c r="AF60" s="135"/>
      <c r="AG60" s="139"/>
    </row>
    <row r="61" spans="2:35" ht="18" hidden="1" x14ac:dyDescent="0.25">
      <c r="B61" s="439"/>
      <c r="C61" s="58"/>
      <c r="D61" s="422"/>
      <c r="E61" s="418"/>
      <c r="F61" s="437"/>
      <c r="G61" s="421"/>
      <c r="J61" s="305"/>
      <c r="K61" s="305"/>
      <c r="L61" s="479"/>
      <c r="N61" s="41" t="s">
        <v>142</v>
      </c>
      <c r="O61" s="42" t="s">
        <v>82</v>
      </c>
      <c r="P61" s="52" t="s">
        <v>165</v>
      </c>
      <c r="Q61" s="5"/>
      <c r="R61" s="42" t="s">
        <v>93</v>
      </c>
      <c r="S61" s="58"/>
      <c r="U61" s="481"/>
      <c r="W61" s="442"/>
      <c r="X61" s="442"/>
      <c r="Y61" s="442"/>
      <c r="Z61" s="58"/>
      <c r="AA61" s="472"/>
      <c r="AB61" s="472"/>
      <c r="AC61" s="58"/>
      <c r="AD61" s="472"/>
      <c r="AE61" s="472"/>
      <c r="AF61" s="135"/>
      <c r="AG61" s="139"/>
    </row>
    <row r="62" spans="2:35" ht="15.75" hidden="1" x14ac:dyDescent="0.25">
      <c r="B62" s="113" t="s">
        <v>134</v>
      </c>
      <c r="C62" s="58"/>
      <c r="D62" s="296" t="s">
        <v>297</v>
      </c>
      <c r="E62" s="145" t="s">
        <v>170</v>
      </c>
      <c r="F62" s="200" t="s">
        <v>180</v>
      </c>
      <c r="G62" s="87" t="s">
        <v>99</v>
      </c>
      <c r="J62" s="305"/>
      <c r="K62" s="305"/>
      <c r="L62" s="63" t="s">
        <v>188</v>
      </c>
      <c r="N62" s="41" t="s">
        <v>143</v>
      </c>
      <c r="O62" s="42" t="s">
        <v>5</v>
      </c>
      <c r="P62" s="44" t="s">
        <v>95</v>
      </c>
      <c r="Q62" s="5"/>
      <c r="R62" s="42" t="s">
        <v>93</v>
      </c>
      <c r="S62" s="58"/>
      <c r="U62" s="119">
        <v>42988</v>
      </c>
      <c r="W62" s="69">
        <v>1.83E-2</v>
      </c>
      <c r="X62" s="69">
        <v>3.5999999999999997E-2</v>
      </c>
      <c r="Y62" s="69" t="s">
        <v>121</v>
      </c>
      <c r="Z62" s="58"/>
      <c r="AA62" s="71">
        <f>10/51</f>
        <v>0.19607843137254902</v>
      </c>
      <c r="AB62" s="71">
        <f>34/51</f>
        <v>0.66666666666666663</v>
      </c>
      <c r="AC62" s="58"/>
      <c r="AD62" s="71">
        <f>2/12</f>
        <v>0.16666666666666666</v>
      </c>
      <c r="AE62" s="71">
        <f>2/12</f>
        <v>0.16666666666666666</v>
      </c>
      <c r="AF62" s="132" t="s">
        <v>239</v>
      </c>
      <c r="AG62" s="136">
        <f>33/59</f>
        <v>0.55932203389830504</v>
      </c>
    </row>
    <row r="63" spans="2:35" ht="15.75" hidden="1" x14ac:dyDescent="0.25">
      <c r="B63" s="62" t="s">
        <v>134</v>
      </c>
      <c r="C63" s="58"/>
      <c r="D63" s="219" t="s">
        <v>297</v>
      </c>
      <c r="E63" s="61" t="s">
        <v>136</v>
      </c>
      <c r="G63" s="87" t="s">
        <v>99</v>
      </c>
      <c r="J63" s="305"/>
      <c r="K63" s="305"/>
      <c r="N63" s="41" t="s">
        <v>144</v>
      </c>
      <c r="Q63" s="5"/>
      <c r="S63" s="58"/>
      <c r="U63" s="265"/>
      <c r="W63" s="69">
        <v>1.3599999999999999E-2</v>
      </c>
      <c r="X63" s="69">
        <v>2.69E-2</v>
      </c>
      <c r="Y63" s="69" t="s">
        <v>121</v>
      </c>
      <c r="Z63" s="58"/>
      <c r="AC63" s="58"/>
      <c r="AF63" s="135"/>
      <c r="AG63" s="139"/>
    </row>
    <row r="64" spans="2:35" ht="23.25" hidden="1" customHeight="1" x14ac:dyDescent="0.25">
      <c r="B64" s="420" t="s">
        <v>134</v>
      </c>
      <c r="C64" s="58"/>
      <c r="D64" s="422" t="s">
        <v>297</v>
      </c>
      <c r="E64" s="437" t="s">
        <v>44</v>
      </c>
      <c r="F64" s="437"/>
      <c r="G64" s="421" t="s">
        <v>99</v>
      </c>
      <c r="J64" s="305"/>
      <c r="K64" s="305"/>
      <c r="N64" s="41" t="s">
        <v>145</v>
      </c>
      <c r="O64" s="42" t="s">
        <v>82</v>
      </c>
      <c r="P64" s="44" t="s">
        <v>181</v>
      </c>
      <c r="Q64" s="5"/>
      <c r="R64" s="42" t="s">
        <v>93</v>
      </c>
      <c r="S64" s="58"/>
      <c r="U64" s="265"/>
      <c r="W64" s="442">
        <v>5.5999999999999999E-3</v>
      </c>
      <c r="X64" s="442">
        <v>1.09E-2</v>
      </c>
      <c r="Y64" s="442" t="s">
        <v>121</v>
      </c>
      <c r="Z64" s="58"/>
      <c r="AC64" s="58"/>
      <c r="AF64" s="135"/>
      <c r="AG64" s="139"/>
    </row>
    <row r="65" spans="2:33" ht="15.75" hidden="1" x14ac:dyDescent="0.25">
      <c r="B65" s="420"/>
      <c r="C65" s="58"/>
      <c r="D65" s="422"/>
      <c r="E65" s="437"/>
      <c r="F65" s="437"/>
      <c r="G65" s="421"/>
      <c r="J65" s="305"/>
      <c r="K65" s="305"/>
      <c r="N65" s="41" t="s">
        <v>143</v>
      </c>
      <c r="O65" s="42" t="s">
        <v>5</v>
      </c>
      <c r="P65" s="44" t="s">
        <v>95</v>
      </c>
      <c r="Q65" s="5"/>
      <c r="R65" s="42" t="s">
        <v>93</v>
      </c>
      <c r="S65" s="58"/>
      <c r="U65" s="265"/>
      <c r="W65" s="442"/>
      <c r="X65" s="442"/>
      <c r="Y65" s="442"/>
      <c r="Z65" s="58"/>
      <c r="AC65" s="58"/>
      <c r="AF65" s="135"/>
      <c r="AG65" s="139"/>
    </row>
    <row r="66" spans="2:33" ht="18" hidden="1" x14ac:dyDescent="0.25">
      <c r="B66" s="420"/>
      <c r="C66" s="58"/>
      <c r="D66" s="422"/>
      <c r="E66" s="437"/>
      <c r="F66" s="437"/>
      <c r="G66" s="421"/>
      <c r="J66" s="305"/>
      <c r="K66" s="305"/>
      <c r="N66" s="41" t="s">
        <v>142</v>
      </c>
      <c r="O66" s="42" t="s">
        <v>82</v>
      </c>
      <c r="P66" s="52" t="s">
        <v>165</v>
      </c>
      <c r="Q66" s="5"/>
      <c r="R66" s="42" t="s">
        <v>93</v>
      </c>
      <c r="S66" s="58"/>
      <c r="U66" s="265"/>
      <c r="W66" s="442"/>
      <c r="X66" s="442"/>
      <c r="Y66" s="442"/>
      <c r="Z66" s="58"/>
      <c r="AC66" s="58"/>
      <c r="AF66" s="135"/>
      <c r="AG66" s="139"/>
    </row>
    <row r="67" spans="2:33" ht="15.75" hidden="1" x14ac:dyDescent="0.25">
      <c r="B67" s="420" t="s">
        <v>134</v>
      </c>
      <c r="C67" s="58"/>
      <c r="D67" s="422" t="s">
        <v>297</v>
      </c>
      <c r="E67" s="437" t="s">
        <v>137</v>
      </c>
      <c r="F67" s="423"/>
      <c r="G67" s="421" t="s">
        <v>99</v>
      </c>
      <c r="J67" s="305"/>
      <c r="K67" s="305"/>
      <c r="L67" s="1"/>
      <c r="N67" s="41" t="s">
        <v>143</v>
      </c>
      <c r="Q67" s="5"/>
      <c r="S67" s="58"/>
      <c r="U67" s="265"/>
      <c r="W67" s="442">
        <v>7.4999999999999997E-3</v>
      </c>
      <c r="X67" s="442">
        <v>1.47E-2</v>
      </c>
      <c r="Y67" s="442" t="s">
        <v>121</v>
      </c>
      <c r="Z67" s="58"/>
      <c r="AC67" s="58"/>
      <c r="AF67" s="135"/>
      <c r="AG67" s="139"/>
    </row>
    <row r="68" spans="2:33" ht="15.75" hidden="1" x14ac:dyDescent="0.25">
      <c r="B68" s="420"/>
      <c r="C68" s="58"/>
      <c r="D68" s="422"/>
      <c r="E68" s="437"/>
      <c r="F68" s="423"/>
      <c r="G68" s="421"/>
      <c r="J68" s="305"/>
      <c r="K68" s="305"/>
      <c r="L68" s="1"/>
      <c r="N68" s="41" t="s">
        <v>142</v>
      </c>
      <c r="Q68" s="5"/>
      <c r="S68" s="58"/>
      <c r="U68" s="265"/>
      <c r="W68" s="442"/>
      <c r="X68" s="442"/>
      <c r="Y68" s="442"/>
      <c r="Z68" s="58"/>
      <c r="AC68" s="58"/>
      <c r="AF68" s="135"/>
      <c r="AG68" s="139"/>
    </row>
    <row r="69" spans="2:33" ht="15.75" hidden="1" x14ac:dyDescent="0.25">
      <c r="B69" s="73" t="s">
        <v>134</v>
      </c>
      <c r="C69" s="58"/>
      <c r="D69" s="219" t="s">
        <v>297</v>
      </c>
      <c r="E69" s="74" t="s">
        <v>172</v>
      </c>
      <c r="G69" s="87" t="s">
        <v>99</v>
      </c>
      <c r="Q69" s="5"/>
      <c r="S69" s="58"/>
      <c r="U69" s="265"/>
      <c r="V69" s="58"/>
      <c r="W69" s="75">
        <v>1.17E-2</v>
      </c>
      <c r="X69" s="75">
        <v>2.3099999999999999E-2</v>
      </c>
      <c r="Y69" s="75" t="s">
        <v>121</v>
      </c>
      <c r="Z69" s="58"/>
      <c r="AC69" s="58"/>
      <c r="AF69" s="135"/>
      <c r="AG69" s="139"/>
    </row>
    <row r="70" spans="2:33" ht="45.75" customHeight="1" thickBot="1" x14ac:dyDescent="0.3">
      <c r="B70" s="113" t="s">
        <v>134</v>
      </c>
      <c r="C70" s="58"/>
      <c r="D70" s="217" t="s">
        <v>293</v>
      </c>
      <c r="E70" s="144" t="s">
        <v>176</v>
      </c>
      <c r="F70" s="190" t="s">
        <v>184</v>
      </c>
      <c r="G70" s="88" t="s">
        <v>100</v>
      </c>
      <c r="J70" s="424" t="s">
        <v>204</v>
      </c>
      <c r="K70" s="431" t="s">
        <v>139</v>
      </c>
      <c r="L70" s="84" t="s">
        <v>225</v>
      </c>
      <c r="N70" s="90" t="s">
        <v>121</v>
      </c>
      <c r="Q70" s="5"/>
      <c r="R70" s="42" t="s">
        <v>93</v>
      </c>
      <c r="S70" s="58"/>
      <c r="U70" s="67">
        <v>42988</v>
      </c>
      <c r="V70" s="58"/>
      <c r="W70" s="75">
        <v>1.15E-2</v>
      </c>
      <c r="X70" s="75" t="s">
        <v>121</v>
      </c>
      <c r="Y70" s="75">
        <v>2.3400000000000001E-2</v>
      </c>
      <c r="Z70" s="58"/>
      <c r="AA70" s="116">
        <v>0.97</v>
      </c>
      <c r="AB70" s="116">
        <v>1</v>
      </c>
      <c r="AC70" s="116"/>
      <c r="AD70" s="116">
        <v>0</v>
      </c>
      <c r="AE70" s="116">
        <v>0</v>
      </c>
      <c r="AF70" s="140" t="s">
        <v>229</v>
      </c>
      <c r="AG70" s="141">
        <v>0</v>
      </c>
    </row>
    <row r="71" spans="2:33" ht="15.75" x14ac:dyDescent="0.25">
      <c r="B71" s="287" t="s">
        <v>134</v>
      </c>
      <c r="C71" s="58"/>
      <c r="D71" s="306" t="s">
        <v>293</v>
      </c>
      <c r="E71" s="144" t="s">
        <v>350</v>
      </c>
      <c r="F71" s="291" t="s">
        <v>350</v>
      </c>
      <c r="G71" s="110" t="s">
        <v>100</v>
      </c>
      <c r="J71" s="428"/>
      <c r="K71" s="432"/>
      <c r="L71" s="289" t="s">
        <v>351</v>
      </c>
      <c r="N71" s="90" t="s">
        <v>121</v>
      </c>
      <c r="Q71" s="5"/>
      <c r="R71" s="42" t="s">
        <v>93</v>
      </c>
      <c r="S71" s="58"/>
      <c r="U71" s="309">
        <v>43123</v>
      </c>
      <c r="V71" s="58"/>
      <c r="W71" s="290">
        <v>2.0641025641025637E-3</v>
      </c>
      <c r="X71" s="290" t="s">
        <v>121</v>
      </c>
      <c r="Y71" s="290">
        <v>4.1999999999999997E-3</v>
      </c>
      <c r="Z71" s="58"/>
      <c r="AA71" s="286"/>
      <c r="AB71" s="286"/>
      <c r="AC71" s="286"/>
      <c r="AD71" s="286"/>
      <c r="AE71" s="286"/>
      <c r="AF71" s="292"/>
      <c r="AG71" s="293"/>
    </row>
    <row r="72" spans="2:33" ht="15.75" x14ac:dyDescent="0.25">
      <c r="B72" s="315" t="s">
        <v>134</v>
      </c>
      <c r="C72" s="58"/>
      <c r="D72" s="353" t="s">
        <v>293</v>
      </c>
      <c r="E72" s="144" t="s">
        <v>362</v>
      </c>
      <c r="F72" s="318" t="s">
        <v>362</v>
      </c>
      <c r="G72" s="110" t="s">
        <v>100</v>
      </c>
      <c r="J72" s="428"/>
      <c r="K72" s="432"/>
      <c r="L72" s="316" t="s">
        <v>275</v>
      </c>
      <c r="N72" s="90" t="s">
        <v>121</v>
      </c>
      <c r="Q72" s="5"/>
      <c r="R72" s="42" t="s">
        <v>93</v>
      </c>
      <c r="S72" s="58"/>
      <c r="U72" s="354">
        <v>43138</v>
      </c>
      <c r="V72" s="58"/>
      <c r="W72" s="320"/>
      <c r="X72" s="320"/>
      <c r="Y72" s="320"/>
      <c r="Z72" s="58"/>
      <c r="AA72" s="321"/>
      <c r="AB72" s="321"/>
      <c r="AC72" s="321"/>
      <c r="AD72" s="321"/>
      <c r="AE72" s="321"/>
      <c r="AF72" s="322"/>
      <c r="AG72" s="319"/>
    </row>
    <row r="73" spans="2:33" ht="15.75" x14ac:dyDescent="0.25">
      <c r="B73" s="315" t="s">
        <v>134</v>
      </c>
      <c r="C73" s="58"/>
      <c r="D73" s="388" t="s">
        <v>293</v>
      </c>
      <c r="E73" s="144" t="s">
        <v>363</v>
      </c>
      <c r="F73" s="318" t="s">
        <v>363</v>
      </c>
      <c r="G73" s="110" t="s">
        <v>100</v>
      </c>
      <c r="J73" s="428"/>
      <c r="K73" s="432"/>
      <c r="L73" s="317" t="s">
        <v>365</v>
      </c>
      <c r="N73" s="90" t="s">
        <v>121</v>
      </c>
      <c r="Q73" s="5"/>
      <c r="R73" s="42" t="s">
        <v>93</v>
      </c>
      <c r="S73" s="58"/>
      <c r="U73" s="389">
        <v>43158</v>
      </c>
      <c r="V73" s="58"/>
      <c r="W73" s="320"/>
      <c r="X73" s="320"/>
      <c r="Y73" s="320"/>
      <c r="Z73" s="58"/>
      <c r="AA73" s="321"/>
      <c r="AB73" s="321"/>
      <c r="AC73" s="321"/>
      <c r="AD73" s="321"/>
      <c r="AE73" s="321"/>
      <c r="AF73" s="322"/>
      <c r="AG73" s="319"/>
    </row>
    <row r="74" spans="2:33" ht="15.75" x14ac:dyDescent="0.25">
      <c r="B74" s="323" t="s">
        <v>134</v>
      </c>
      <c r="C74" s="58"/>
      <c r="D74" s="340" t="s">
        <v>296</v>
      </c>
      <c r="E74" s="144" t="s">
        <v>368</v>
      </c>
      <c r="F74" s="144" t="s">
        <v>374</v>
      </c>
      <c r="G74" s="110" t="s">
        <v>100</v>
      </c>
      <c r="J74" s="428"/>
      <c r="K74" s="432"/>
      <c r="L74" s="332" t="s">
        <v>365</v>
      </c>
      <c r="N74" s="90" t="s">
        <v>121</v>
      </c>
      <c r="Q74" s="5"/>
      <c r="R74" s="330"/>
      <c r="S74" s="58"/>
      <c r="U74" s="329"/>
      <c r="V74" s="58"/>
      <c r="W74" s="325"/>
      <c r="X74" s="325"/>
      <c r="Y74" s="325"/>
      <c r="Z74" s="58"/>
      <c r="AA74" s="326"/>
      <c r="AB74" s="326"/>
      <c r="AC74" s="326"/>
      <c r="AD74" s="326"/>
      <c r="AE74" s="326"/>
      <c r="AF74" s="327"/>
      <c r="AG74" s="324"/>
    </row>
    <row r="75" spans="2:33" ht="15.75" x14ac:dyDescent="0.25">
      <c r="B75" s="333" t="s">
        <v>134</v>
      </c>
      <c r="C75" s="58"/>
      <c r="D75" s="412" t="s">
        <v>293</v>
      </c>
      <c r="E75" s="144" t="s">
        <v>373</v>
      </c>
      <c r="F75" s="144" t="s">
        <v>373</v>
      </c>
      <c r="G75" s="110" t="s">
        <v>100</v>
      </c>
      <c r="J75" s="428"/>
      <c r="K75" s="432"/>
      <c r="L75" s="351" t="s">
        <v>375</v>
      </c>
      <c r="N75" s="90" t="s">
        <v>121</v>
      </c>
      <c r="Q75" s="5"/>
      <c r="R75" s="339"/>
      <c r="S75" s="58"/>
      <c r="U75" s="413">
        <v>43158</v>
      </c>
      <c r="V75" s="58"/>
      <c r="W75" s="335"/>
      <c r="X75" s="335"/>
      <c r="Y75" s="335"/>
      <c r="Z75" s="58"/>
      <c r="AA75" s="336"/>
      <c r="AB75" s="336"/>
      <c r="AC75" s="336"/>
      <c r="AD75" s="336"/>
      <c r="AE75" s="336"/>
      <c r="AF75" s="337"/>
      <c r="AG75" s="334"/>
    </row>
    <row r="76" spans="2:33" ht="9" customHeight="1" x14ac:dyDescent="0.25">
      <c r="B76" s="47"/>
      <c r="C76" s="48"/>
      <c r="D76" s="215"/>
      <c r="E76" s="49"/>
      <c r="F76" s="49"/>
      <c r="G76" s="49"/>
      <c r="H76" s="49"/>
      <c r="I76" s="49"/>
      <c r="J76" s="50"/>
      <c r="K76" s="50"/>
      <c r="L76" s="50"/>
      <c r="M76" s="49"/>
      <c r="N76" s="50"/>
      <c r="O76" s="49"/>
      <c r="P76" s="49"/>
      <c r="Q76" s="49"/>
      <c r="R76" s="51"/>
      <c r="S76" s="48"/>
      <c r="T76" s="51"/>
      <c r="U76" s="68"/>
      <c r="V76" s="48"/>
      <c r="W76" s="51"/>
      <c r="X76" s="51"/>
      <c r="Y76" s="51"/>
      <c r="Z76" s="48"/>
      <c r="AA76" s="51"/>
      <c r="AB76" s="51"/>
      <c r="AC76" s="48"/>
      <c r="AD76" s="51"/>
      <c r="AE76" s="51"/>
      <c r="AF76" s="134"/>
      <c r="AG76" s="138"/>
    </row>
    <row r="77" spans="2:33" ht="37.5" customHeight="1" x14ac:dyDescent="0.25">
      <c r="B77" s="420" t="s">
        <v>243</v>
      </c>
      <c r="C77" s="32"/>
      <c r="D77" s="485" t="s">
        <v>293</v>
      </c>
      <c r="E77" s="437" t="s">
        <v>244</v>
      </c>
      <c r="F77" s="437" t="s">
        <v>244</v>
      </c>
      <c r="G77" s="440" t="s">
        <v>99</v>
      </c>
      <c r="H77" s="35"/>
      <c r="I77" s="36"/>
      <c r="J77" s="424" t="s">
        <v>127</v>
      </c>
      <c r="K77" s="435" t="s">
        <v>139</v>
      </c>
      <c r="L77" s="424" t="s">
        <v>407</v>
      </c>
      <c r="M77" s="36"/>
      <c r="N77" s="41" t="s">
        <v>247</v>
      </c>
      <c r="O77" s="42" t="s">
        <v>82</v>
      </c>
      <c r="P77" s="44" t="s">
        <v>334</v>
      </c>
      <c r="Q77" s="5"/>
      <c r="R77" s="42" t="s">
        <v>93</v>
      </c>
      <c r="S77" s="64"/>
      <c r="U77" s="443">
        <v>43062</v>
      </c>
      <c r="W77" s="442">
        <v>0.1575</v>
      </c>
      <c r="X77" s="442"/>
      <c r="Y77" s="442"/>
      <c r="Z77" s="64"/>
      <c r="AA77" s="125"/>
      <c r="AB77" s="125"/>
      <c r="AC77" s="64"/>
      <c r="AD77" s="125"/>
      <c r="AE77" s="125"/>
      <c r="AF77" s="133"/>
      <c r="AG77" s="137"/>
    </row>
    <row r="78" spans="2:33" ht="37.5" x14ac:dyDescent="0.25">
      <c r="B78" s="420"/>
      <c r="C78" s="32"/>
      <c r="D78" s="485"/>
      <c r="E78" s="437"/>
      <c r="F78" s="437"/>
      <c r="G78" s="440"/>
      <c r="H78" s="35"/>
      <c r="I78" s="36"/>
      <c r="J78" s="428"/>
      <c r="K78" s="436"/>
      <c r="L78" s="425"/>
      <c r="M78" s="36"/>
      <c r="N78" s="41" t="s">
        <v>248</v>
      </c>
      <c r="O78" s="42" t="s">
        <v>82</v>
      </c>
      <c r="P78" s="44" t="s">
        <v>333</v>
      </c>
      <c r="Q78" s="5"/>
      <c r="R78" s="42" t="s">
        <v>93</v>
      </c>
      <c r="S78" s="64"/>
      <c r="U78" s="443"/>
      <c r="W78" s="442"/>
      <c r="X78" s="442"/>
      <c r="Y78" s="442"/>
      <c r="Z78" s="64"/>
      <c r="AA78" s="125"/>
      <c r="AB78" s="125"/>
      <c r="AC78" s="64"/>
      <c r="AD78" s="125"/>
      <c r="AE78" s="125"/>
      <c r="AF78" s="133"/>
      <c r="AG78" s="137"/>
    </row>
    <row r="79" spans="2:33" ht="28.5" x14ac:dyDescent="0.25">
      <c r="B79" s="439" t="s">
        <v>243</v>
      </c>
      <c r="C79" s="64"/>
      <c r="D79" s="438" t="s">
        <v>293</v>
      </c>
      <c r="E79" s="418" t="s">
        <v>245</v>
      </c>
      <c r="F79" s="437" t="s">
        <v>287</v>
      </c>
      <c r="G79" s="440" t="s">
        <v>99</v>
      </c>
      <c r="H79" s="35"/>
      <c r="I79" s="36"/>
      <c r="J79" s="428"/>
      <c r="K79" s="436"/>
      <c r="L79" s="426" t="s">
        <v>277</v>
      </c>
      <c r="M79" s="36"/>
      <c r="N79" s="41" t="s">
        <v>347</v>
      </c>
      <c r="O79" s="42" t="s">
        <v>82</v>
      </c>
      <c r="P79" s="44" t="s">
        <v>250</v>
      </c>
      <c r="Q79" s="5"/>
      <c r="R79" s="42" t="s">
        <v>93</v>
      </c>
      <c r="S79" s="64"/>
      <c r="U79" s="443">
        <v>43433</v>
      </c>
      <c r="W79" s="442">
        <v>5.74E-2</v>
      </c>
      <c r="X79" s="142"/>
      <c r="Y79" s="142"/>
      <c r="Z79" s="64"/>
      <c r="AA79" s="125"/>
      <c r="AB79" s="125"/>
      <c r="AC79" s="64"/>
      <c r="AD79" s="125"/>
      <c r="AE79" s="125"/>
      <c r="AF79" s="133"/>
      <c r="AG79" s="137"/>
    </row>
    <row r="80" spans="2:33" ht="15.75" x14ac:dyDescent="0.25">
      <c r="B80" s="439"/>
      <c r="C80" s="64"/>
      <c r="D80" s="438"/>
      <c r="E80" s="418"/>
      <c r="F80" s="437"/>
      <c r="G80" s="440"/>
      <c r="H80" s="35"/>
      <c r="I80" s="36"/>
      <c r="J80" s="428"/>
      <c r="K80" s="436"/>
      <c r="L80" s="427"/>
      <c r="M80" s="36"/>
      <c r="N80" s="41" t="s">
        <v>278</v>
      </c>
      <c r="O80" s="42" t="s">
        <v>5</v>
      </c>
      <c r="P80" s="126" t="s">
        <v>279</v>
      </c>
      <c r="Q80" s="5"/>
      <c r="R80" s="42" t="s">
        <v>93</v>
      </c>
      <c r="S80" s="64"/>
      <c r="U80" s="443"/>
      <c r="W80" s="442"/>
      <c r="X80" s="169"/>
      <c r="Y80" s="169"/>
      <c r="Z80" s="64"/>
      <c r="AA80" s="170"/>
      <c r="AB80" s="170"/>
      <c r="AC80" s="64"/>
      <c r="AD80" s="170"/>
      <c r="AE80" s="170"/>
      <c r="AF80" s="171"/>
      <c r="AG80" s="168"/>
    </row>
    <row r="81" spans="2:33" ht="28.5" x14ac:dyDescent="0.25">
      <c r="B81" s="439" t="s">
        <v>243</v>
      </c>
      <c r="C81" s="64"/>
      <c r="D81" s="438" t="s">
        <v>293</v>
      </c>
      <c r="E81" s="418" t="s">
        <v>246</v>
      </c>
      <c r="F81" s="437" t="s">
        <v>284</v>
      </c>
      <c r="G81" s="440" t="s">
        <v>99</v>
      </c>
      <c r="H81" s="35"/>
      <c r="I81" s="36"/>
      <c r="J81" s="428"/>
      <c r="K81" s="436"/>
      <c r="L81" s="429" t="s">
        <v>188</v>
      </c>
      <c r="M81" s="36"/>
      <c r="N81" s="41" t="s">
        <v>247</v>
      </c>
      <c r="O81" s="42" t="s">
        <v>82</v>
      </c>
      <c r="P81" s="44" t="s">
        <v>250</v>
      </c>
      <c r="Q81" s="5"/>
      <c r="R81" s="42" t="s">
        <v>93</v>
      </c>
      <c r="S81" s="64"/>
      <c r="U81" s="188">
        <v>43072</v>
      </c>
      <c r="W81" s="122">
        <v>3.4700000000000002E-2</v>
      </c>
      <c r="X81" s="142"/>
      <c r="Y81" s="142"/>
      <c r="Z81" s="64"/>
      <c r="AA81" s="125"/>
      <c r="AB81" s="125"/>
      <c r="AC81" s="64"/>
      <c r="AD81" s="125"/>
      <c r="AE81" s="125"/>
      <c r="AF81" s="133"/>
      <c r="AG81" s="137"/>
    </row>
    <row r="82" spans="2:33" ht="15.75" x14ac:dyDescent="0.25">
      <c r="B82" s="439"/>
      <c r="C82" s="64"/>
      <c r="D82" s="438"/>
      <c r="E82" s="418"/>
      <c r="F82" s="437"/>
      <c r="G82" s="440"/>
      <c r="H82" s="35"/>
      <c r="I82" s="36"/>
      <c r="J82" s="428"/>
      <c r="K82" s="436"/>
      <c r="L82" s="430"/>
      <c r="M82" s="36"/>
      <c r="N82" s="41" t="s">
        <v>412</v>
      </c>
      <c r="O82" s="42" t="s">
        <v>413</v>
      </c>
      <c r="P82" s="44" t="s">
        <v>414</v>
      </c>
      <c r="Q82" s="5"/>
      <c r="R82" s="42"/>
      <c r="S82" s="64"/>
      <c r="U82" s="373"/>
      <c r="W82" s="371"/>
      <c r="X82" s="371"/>
      <c r="Y82" s="371"/>
      <c r="Z82" s="64"/>
      <c r="AA82" s="372"/>
      <c r="AB82" s="372"/>
      <c r="AC82" s="64"/>
      <c r="AD82" s="372"/>
      <c r="AE82" s="372"/>
      <c r="AF82" s="370"/>
      <c r="AG82" s="374"/>
    </row>
    <row r="83" spans="2:33" ht="28.5" x14ac:dyDescent="0.25">
      <c r="B83" s="191" t="s">
        <v>243</v>
      </c>
      <c r="C83" s="64"/>
      <c r="D83" s="238" t="s">
        <v>296</v>
      </c>
      <c r="E83" s="193" t="s">
        <v>289</v>
      </c>
      <c r="F83" s="190" t="s">
        <v>290</v>
      </c>
      <c r="G83" s="192" t="s">
        <v>99</v>
      </c>
      <c r="H83" s="35"/>
      <c r="I83" s="36"/>
      <c r="J83" s="428"/>
      <c r="K83" s="436"/>
      <c r="L83" s="237" t="s">
        <v>408</v>
      </c>
      <c r="M83" s="36"/>
      <c r="N83" s="41" t="s">
        <v>312</v>
      </c>
      <c r="O83" s="42" t="s">
        <v>82</v>
      </c>
      <c r="P83" s="44" t="s">
        <v>292</v>
      </c>
      <c r="Q83" s="5"/>
      <c r="R83" s="42" t="s">
        <v>93</v>
      </c>
      <c r="S83" s="64"/>
      <c r="U83" s="196"/>
      <c r="W83" s="195">
        <v>1.0200000000000001E-2</v>
      </c>
      <c r="X83" s="195"/>
      <c r="Y83" s="195"/>
      <c r="Z83" s="64"/>
      <c r="AA83" s="194"/>
      <c r="AB83" s="194"/>
      <c r="AC83" s="64"/>
      <c r="AD83" s="194"/>
      <c r="AE83" s="194"/>
      <c r="AF83" s="199"/>
      <c r="AG83" s="198"/>
    </row>
    <row r="84" spans="2:33" ht="46.5" x14ac:dyDescent="0.25">
      <c r="B84" s="152" t="s">
        <v>243</v>
      </c>
      <c r="C84" s="64"/>
      <c r="D84" s="218" t="s">
        <v>296</v>
      </c>
      <c r="E84" s="156" t="s">
        <v>256</v>
      </c>
      <c r="F84" s="190" t="s">
        <v>256</v>
      </c>
      <c r="G84" s="180" t="s">
        <v>255</v>
      </c>
      <c r="H84" s="35"/>
      <c r="I84" s="36"/>
      <c r="J84" s="428"/>
      <c r="K84" s="436"/>
      <c r="L84" s="410" t="s">
        <v>437</v>
      </c>
      <c r="M84" s="36"/>
      <c r="N84" s="41" t="s">
        <v>257</v>
      </c>
      <c r="O84" s="42" t="s">
        <v>82</v>
      </c>
      <c r="P84" s="44" t="s">
        <v>282</v>
      </c>
      <c r="Q84" s="5"/>
      <c r="R84" s="42" t="s">
        <v>93</v>
      </c>
      <c r="S84" s="64"/>
      <c r="U84" s="155"/>
      <c r="W84" s="147">
        <v>4.2099999999999999E-2</v>
      </c>
      <c r="X84" s="147"/>
      <c r="Y84" s="147"/>
      <c r="Z84" s="64"/>
      <c r="AA84" s="148"/>
      <c r="AB84" s="148"/>
      <c r="AC84" s="64"/>
      <c r="AD84" s="148"/>
      <c r="AE84" s="148"/>
      <c r="AF84" s="149"/>
      <c r="AG84" s="146"/>
    </row>
    <row r="85" spans="2:33" ht="19.5" x14ac:dyDescent="0.25">
      <c r="B85" s="348" t="s">
        <v>243</v>
      </c>
      <c r="C85" s="64"/>
      <c r="D85" s="408" t="s">
        <v>293</v>
      </c>
      <c r="E85" s="342" t="s">
        <v>395</v>
      </c>
      <c r="F85" s="342" t="s">
        <v>395</v>
      </c>
      <c r="G85" s="343" t="s">
        <v>99</v>
      </c>
      <c r="H85" s="312"/>
      <c r="I85" s="36"/>
      <c r="J85" s="428"/>
      <c r="K85" s="436"/>
      <c r="L85" s="341" t="s">
        <v>365</v>
      </c>
      <c r="M85" s="36"/>
      <c r="N85" s="43" t="s">
        <v>409</v>
      </c>
      <c r="O85" s="42" t="s">
        <v>82</v>
      </c>
      <c r="P85" s="352" t="s">
        <v>410</v>
      </c>
      <c r="Q85" s="5"/>
      <c r="R85" s="346"/>
      <c r="S85" s="64"/>
      <c r="U85" s="345">
        <v>43167</v>
      </c>
      <c r="W85" s="344"/>
      <c r="X85" s="344"/>
      <c r="Y85" s="344"/>
      <c r="Z85" s="64"/>
      <c r="AA85" s="347"/>
      <c r="AB85" s="347"/>
      <c r="AC85" s="64"/>
      <c r="AD85" s="347"/>
      <c r="AE85" s="347"/>
      <c r="AF85" s="350"/>
      <c r="AG85" s="349"/>
    </row>
    <row r="86" spans="2:33" ht="15.75" x14ac:dyDescent="0.25">
      <c r="B86" s="348" t="s">
        <v>243</v>
      </c>
      <c r="C86" s="64"/>
      <c r="D86" s="311" t="s">
        <v>295</v>
      </c>
      <c r="E86" s="342" t="s">
        <v>396</v>
      </c>
      <c r="F86" s="342" t="s">
        <v>396</v>
      </c>
      <c r="G86" s="343" t="s">
        <v>99</v>
      </c>
      <c r="H86" s="312"/>
      <c r="I86" s="36"/>
      <c r="J86" s="428"/>
      <c r="K86" s="436"/>
      <c r="L86" s="411" t="s">
        <v>439</v>
      </c>
      <c r="M86" s="36"/>
      <c r="N86" s="43"/>
      <c r="O86" s="346"/>
      <c r="P86" s="352"/>
      <c r="Q86" s="5"/>
      <c r="R86" s="346"/>
      <c r="S86" s="64"/>
      <c r="U86" s="345"/>
      <c r="W86" s="344"/>
      <c r="X86" s="344"/>
      <c r="Y86" s="344"/>
      <c r="Z86" s="64"/>
      <c r="AA86" s="347"/>
      <c r="AB86" s="347"/>
      <c r="AC86" s="64"/>
      <c r="AD86" s="347"/>
      <c r="AE86" s="347"/>
      <c r="AF86" s="350"/>
      <c r="AG86" s="349"/>
    </row>
    <row r="87" spans="2:33" ht="15.75" x14ac:dyDescent="0.25">
      <c r="B87" s="348" t="s">
        <v>243</v>
      </c>
      <c r="C87" s="64"/>
      <c r="D87" s="311" t="s">
        <v>295</v>
      </c>
      <c r="E87" s="342" t="s">
        <v>397</v>
      </c>
      <c r="F87" s="342" t="s">
        <v>397</v>
      </c>
      <c r="G87" s="110" t="s">
        <v>100</v>
      </c>
      <c r="H87" s="312"/>
      <c r="I87" s="36"/>
      <c r="J87" s="428"/>
      <c r="K87" s="436"/>
      <c r="L87" s="341" t="s">
        <v>365</v>
      </c>
      <c r="M87" s="36"/>
      <c r="N87" s="43"/>
      <c r="O87" s="346"/>
      <c r="P87" s="352"/>
      <c r="Q87" s="5"/>
      <c r="R87" s="346"/>
      <c r="S87" s="64"/>
      <c r="U87" s="345"/>
      <c r="W87" s="344"/>
      <c r="X87" s="344"/>
      <c r="Y87" s="344"/>
      <c r="Z87" s="64"/>
      <c r="AA87" s="347"/>
      <c r="AB87" s="347"/>
      <c r="AC87" s="64"/>
      <c r="AD87" s="347"/>
      <c r="AE87" s="347"/>
      <c r="AF87" s="350"/>
      <c r="AG87" s="349"/>
    </row>
    <row r="88" spans="2:33" ht="9" customHeight="1" x14ac:dyDescent="0.25">
      <c r="B88" s="47"/>
      <c r="C88" s="48"/>
      <c r="D88" s="215"/>
      <c r="E88" s="49"/>
      <c r="F88" s="49"/>
      <c r="G88" s="49"/>
      <c r="H88" s="49"/>
      <c r="I88" s="49"/>
      <c r="J88" s="50"/>
      <c r="K88" s="50"/>
      <c r="L88" s="50"/>
      <c r="M88" s="49"/>
      <c r="N88" s="50"/>
      <c r="O88" s="49"/>
      <c r="P88" s="49"/>
      <c r="Q88" s="49"/>
      <c r="R88" s="51"/>
      <c r="S88" s="48"/>
      <c r="T88" s="51"/>
      <c r="U88" s="68"/>
      <c r="V88" s="48"/>
      <c r="W88" s="51"/>
      <c r="X88" s="51"/>
      <c r="Y88" s="51"/>
      <c r="Z88" s="48"/>
      <c r="AA88" s="51"/>
      <c r="AB88" s="51"/>
      <c r="AC88" s="48"/>
      <c r="AD88" s="51"/>
      <c r="AE88" s="51"/>
      <c r="AF88" s="134"/>
      <c r="AG88" s="138"/>
    </row>
    <row r="89" spans="2:33" ht="15.75" x14ac:dyDescent="0.25">
      <c r="B89" s="65" t="s">
        <v>273</v>
      </c>
      <c r="C89" s="32"/>
      <c r="D89" s="311" t="s">
        <v>295</v>
      </c>
      <c r="E89" s="361" t="s">
        <v>404</v>
      </c>
      <c r="G89" s="362" t="s">
        <v>99</v>
      </c>
      <c r="H89" s="35"/>
      <c r="I89" s="36"/>
      <c r="J89" s="424" t="s">
        <v>288</v>
      </c>
      <c r="K89" s="424" t="s">
        <v>288</v>
      </c>
      <c r="L89" s="363"/>
      <c r="M89" s="36"/>
      <c r="N89" s="41"/>
      <c r="O89" s="42"/>
      <c r="P89" s="44"/>
      <c r="Q89" s="5"/>
      <c r="S89" s="64"/>
      <c r="W89" s="364">
        <v>0.36599999999999999</v>
      </c>
      <c r="X89" s="364">
        <v>0.625</v>
      </c>
      <c r="Y89" s="232" t="s">
        <v>121</v>
      </c>
      <c r="Z89" s="64"/>
      <c r="AA89" s="366"/>
      <c r="AB89" s="366"/>
      <c r="AC89" s="64"/>
      <c r="AD89" s="366"/>
      <c r="AE89" s="366"/>
      <c r="AF89" s="367"/>
      <c r="AG89" s="365"/>
    </row>
    <row r="90" spans="2:33" ht="15.75" x14ac:dyDescent="0.25">
      <c r="B90" s="65" t="s">
        <v>273</v>
      </c>
      <c r="C90" s="32"/>
      <c r="D90" s="311" t="s">
        <v>295</v>
      </c>
      <c r="E90" s="361" t="s">
        <v>405</v>
      </c>
      <c r="G90" s="362" t="s">
        <v>99</v>
      </c>
      <c r="H90" s="35"/>
      <c r="I90" s="36"/>
      <c r="J90" s="428"/>
      <c r="K90" s="428"/>
      <c r="L90" s="363"/>
      <c r="M90" s="36"/>
      <c r="N90" s="41"/>
      <c r="O90" s="42"/>
      <c r="P90" s="44"/>
      <c r="Q90" s="5"/>
      <c r="S90" s="64"/>
      <c r="W90" s="364">
        <v>0.36599999999999999</v>
      </c>
      <c r="X90" s="364">
        <v>0.625</v>
      </c>
      <c r="Y90" s="232" t="s">
        <v>121</v>
      </c>
      <c r="Z90" s="64"/>
      <c r="AA90" s="366"/>
      <c r="AB90" s="366"/>
      <c r="AC90" s="64"/>
      <c r="AD90" s="366"/>
      <c r="AE90" s="366"/>
      <c r="AF90" s="367"/>
      <c r="AG90" s="365"/>
    </row>
    <row r="91" spans="2:33" ht="15.75" x14ac:dyDescent="0.25">
      <c r="B91" s="65" t="s">
        <v>273</v>
      </c>
      <c r="C91" s="32"/>
      <c r="D91" s="311" t="s">
        <v>295</v>
      </c>
      <c r="E91" s="361" t="s">
        <v>406</v>
      </c>
      <c r="G91" s="187" t="s">
        <v>99</v>
      </c>
      <c r="H91" s="35"/>
      <c r="I91" s="36"/>
      <c r="J91" s="428"/>
      <c r="K91" s="428"/>
      <c r="L91" s="186"/>
      <c r="M91" s="36"/>
      <c r="N91" s="41"/>
      <c r="O91" s="42"/>
      <c r="P91" s="44"/>
      <c r="Q91" s="5"/>
      <c r="S91" s="64"/>
      <c r="W91" s="183">
        <v>0.36599999999999999</v>
      </c>
      <c r="X91" s="183">
        <v>0.625</v>
      </c>
      <c r="Y91" s="17" t="s">
        <v>121</v>
      </c>
      <c r="Z91" s="64"/>
      <c r="AA91" s="184"/>
      <c r="AB91" s="184"/>
      <c r="AC91" s="64"/>
      <c r="AD91" s="184"/>
      <c r="AE91" s="184"/>
      <c r="AF91" s="185"/>
      <c r="AG91" s="182"/>
    </row>
    <row r="92" spans="2:33" ht="9" customHeight="1" x14ac:dyDescent="0.25">
      <c r="B92" s="47"/>
      <c r="C92" s="48"/>
      <c r="D92" s="215"/>
      <c r="E92" s="49"/>
      <c r="F92" s="49"/>
      <c r="G92" s="49"/>
      <c r="H92" s="49"/>
      <c r="I92" s="49"/>
      <c r="J92" s="50"/>
      <c r="K92" s="50"/>
      <c r="L92" s="50"/>
      <c r="M92" s="49"/>
      <c r="N92" s="50"/>
      <c r="O92" s="49"/>
      <c r="P92" s="49"/>
      <c r="Q92" s="49"/>
      <c r="R92" s="51"/>
      <c r="S92" s="48"/>
      <c r="T92" s="51"/>
      <c r="U92" s="68"/>
      <c r="V92" s="48"/>
      <c r="W92" s="51"/>
      <c r="X92" s="51"/>
      <c r="Y92" s="51"/>
      <c r="Z92" s="48"/>
      <c r="AA92" s="51"/>
      <c r="AB92" s="51"/>
      <c r="AC92" s="48"/>
      <c r="AD92" s="51"/>
      <c r="AE92" s="51"/>
      <c r="AF92" s="134"/>
      <c r="AG92" s="138"/>
    </row>
    <row r="93" spans="2:33" ht="34.5" customHeight="1" x14ac:dyDescent="0.25">
      <c r="B93" s="420" t="s">
        <v>261</v>
      </c>
      <c r="C93" s="65"/>
      <c r="D93" s="419" t="s">
        <v>293</v>
      </c>
      <c r="E93" s="418" t="s">
        <v>306</v>
      </c>
      <c r="F93" s="437" t="s">
        <v>306</v>
      </c>
      <c r="G93" s="421" t="s">
        <v>99</v>
      </c>
      <c r="H93" s="35"/>
      <c r="I93" s="36"/>
      <c r="J93" s="424" t="s">
        <v>127</v>
      </c>
      <c r="K93" s="435" t="s">
        <v>139</v>
      </c>
      <c r="L93" s="433" t="s">
        <v>275</v>
      </c>
      <c r="N93" s="41" t="s">
        <v>354</v>
      </c>
      <c r="O93" s="42" t="s">
        <v>82</v>
      </c>
      <c r="P93" s="126" t="s">
        <v>355</v>
      </c>
      <c r="Q93" s="482" t="s">
        <v>440</v>
      </c>
      <c r="S93" s="64"/>
      <c r="U93" s="284">
        <v>43115</v>
      </c>
      <c r="W93" s="242">
        <v>0.36599999999999999</v>
      </c>
      <c r="X93" s="242">
        <v>0.625</v>
      </c>
      <c r="Y93" s="232" t="s">
        <v>121</v>
      </c>
      <c r="Z93" s="64"/>
      <c r="AA93" s="243"/>
      <c r="AB93" s="243"/>
      <c r="AC93" s="64"/>
      <c r="AD93" s="243"/>
      <c r="AE93" s="243"/>
      <c r="AF93" s="244"/>
      <c r="AG93" s="241"/>
    </row>
    <row r="94" spans="2:33" ht="34.5" customHeight="1" x14ac:dyDescent="0.25">
      <c r="B94" s="420"/>
      <c r="C94" s="65"/>
      <c r="D94" s="419"/>
      <c r="E94" s="418"/>
      <c r="F94" s="437"/>
      <c r="G94" s="421"/>
      <c r="H94" s="312"/>
      <c r="I94" s="36"/>
      <c r="J94" s="428"/>
      <c r="K94" s="436"/>
      <c r="L94" s="434"/>
      <c r="N94" s="41" t="s">
        <v>354</v>
      </c>
      <c r="O94" s="42"/>
      <c r="P94" s="126" t="s">
        <v>344</v>
      </c>
      <c r="Q94" s="482"/>
      <c r="S94" s="64"/>
      <c r="U94" s="304"/>
      <c r="W94" s="301"/>
      <c r="X94" s="301"/>
      <c r="Y94" s="232"/>
      <c r="Z94" s="64"/>
      <c r="AA94" s="302"/>
      <c r="AB94" s="302"/>
      <c r="AC94" s="64"/>
      <c r="AD94" s="302"/>
      <c r="AE94" s="302"/>
      <c r="AF94" s="313"/>
      <c r="AG94" s="303"/>
    </row>
    <row r="95" spans="2:33" ht="15.75" x14ac:dyDescent="0.25">
      <c r="B95" s="420" t="s">
        <v>261</v>
      </c>
      <c r="C95" s="65"/>
      <c r="D95" s="419" t="s">
        <v>293</v>
      </c>
      <c r="E95" s="418" t="s">
        <v>322</v>
      </c>
      <c r="F95" s="437" t="s">
        <v>321</v>
      </c>
      <c r="G95" s="421" t="s">
        <v>99</v>
      </c>
      <c r="J95" s="428"/>
      <c r="K95" s="436"/>
      <c r="L95" s="426" t="s">
        <v>131</v>
      </c>
      <c r="N95" s="41" t="s">
        <v>331</v>
      </c>
      <c r="O95" s="42" t="s">
        <v>82</v>
      </c>
      <c r="P95" s="44" t="s">
        <v>339</v>
      </c>
      <c r="Q95" s="482" t="s">
        <v>440</v>
      </c>
      <c r="S95" s="58"/>
      <c r="U95" s="274">
        <v>43095</v>
      </c>
      <c r="V95" s="58"/>
      <c r="Z95" s="58"/>
      <c r="AC95" s="58"/>
      <c r="AF95" s="128"/>
    </row>
    <row r="96" spans="2:33" ht="28.5" x14ac:dyDescent="0.25">
      <c r="B96" s="420"/>
      <c r="C96" s="65"/>
      <c r="D96" s="419"/>
      <c r="E96" s="418"/>
      <c r="F96" s="437"/>
      <c r="G96" s="421"/>
      <c r="J96" s="428"/>
      <c r="K96" s="436"/>
      <c r="L96" s="427"/>
      <c r="N96" s="41" t="s">
        <v>332</v>
      </c>
      <c r="O96" s="42" t="s">
        <v>82</v>
      </c>
      <c r="P96" s="44" t="s">
        <v>342</v>
      </c>
      <c r="Q96" s="482"/>
      <c r="S96" s="58"/>
      <c r="U96" s="274"/>
      <c r="V96" s="58"/>
      <c r="Z96" s="58"/>
      <c r="AC96" s="58"/>
      <c r="AF96" s="128"/>
    </row>
    <row r="97" spans="2:33" ht="36.75" customHeight="1" x14ac:dyDescent="0.25">
      <c r="B97" s="420" t="s">
        <v>261</v>
      </c>
      <c r="C97" s="32"/>
      <c r="D97" s="419" t="s">
        <v>293</v>
      </c>
      <c r="E97" s="418" t="s">
        <v>325</v>
      </c>
      <c r="F97" s="437" t="s">
        <v>326</v>
      </c>
      <c r="G97" s="421" t="s">
        <v>99</v>
      </c>
      <c r="H97" s="35"/>
      <c r="I97" s="36"/>
      <c r="J97" s="428"/>
      <c r="K97" s="436"/>
      <c r="L97" s="433" t="s">
        <v>277</v>
      </c>
      <c r="N97" s="41" t="s">
        <v>327</v>
      </c>
      <c r="O97" s="42" t="s">
        <v>82</v>
      </c>
      <c r="P97" s="126" t="s">
        <v>356</v>
      </c>
      <c r="Q97" s="414" t="s">
        <v>440</v>
      </c>
      <c r="S97" s="64"/>
      <c r="U97" s="274">
        <v>43096</v>
      </c>
      <c r="W97" s="259"/>
      <c r="X97" s="259"/>
      <c r="Y97" s="232"/>
      <c r="Z97" s="64"/>
      <c r="AA97" s="261"/>
      <c r="AB97" s="261"/>
      <c r="AC97" s="64"/>
      <c r="AD97" s="261"/>
      <c r="AE97" s="261"/>
      <c r="AF97" s="263"/>
      <c r="AG97" s="262"/>
    </row>
    <row r="98" spans="2:33" ht="21.75" customHeight="1" x14ac:dyDescent="0.25">
      <c r="B98" s="420"/>
      <c r="C98" s="58"/>
      <c r="D98" s="419"/>
      <c r="E98" s="418"/>
      <c r="F98" s="437"/>
      <c r="G98" s="421"/>
      <c r="J98" s="428"/>
      <c r="K98" s="436"/>
      <c r="L98" s="434"/>
      <c r="N98" s="41" t="s">
        <v>327</v>
      </c>
      <c r="O98" s="283" t="s">
        <v>343</v>
      </c>
      <c r="P98" s="126" t="s">
        <v>344</v>
      </c>
      <c r="Q98" s="5"/>
      <c r="S98" s="58"/>
      <c r="V98" s="58"/>
      <c r="Z98" s="58"/>
      <c r="AC98" s="58"/>
      <c r="AF98" s="128"/>
    </row>
    <row r="99" spans="2:33" ht="26.25" customHeight="1" x14ac:dyDescent="0.25">
      <c r="B99" s="65" t="s">
        <v>261</v>
      </c>
      <c r="C99" s="32"/>
      <c r="D99" s="406" t="s">
        <v>293</v>
      </c>
      <c r="E99" s="285" t="s">
        <v>348</v>
      </c>
      <c r="F99" s="285" t="s">
        <v>348</v>
      </c>
      <c r="G99" s="288" t="s">
        <v>99</v>
      </c>
      <c r="J99" s="428"/>
      <c r="K99" s="436"/>
      <c r="L99" s="314" t="s">
        <v>369</v>
      </c>
      <c r="N99" s="41" t="s">
        <v>349</v>
      </c>
      <c r="O99" s="283" t="s">
        <v>349</v>
      </c>
      <c r="Q99" s="415" t="s">
        <v>441</v>
      </c>
      <c r="S99" s="58"/>
      <c r="V99" s="58"/>
      <c r="Z99" s="58"/>
      <c r="AC99" s="58"/>
      <c r="AF99" s="128"/>
    </row>
    <row r="100" spans="2:33" ht="28.5" x14ac:dyDescent="0.25">
      <c r="B100" s="420" t="s">
        <v>261</v>
      </c>
      <c r="C100" s="58"/>
      <c r="D100" s="490" t="s">
        <v>296</v>
      </c>
      <c r="E100" s="418" t="s">
        <v>360</v>
      </c>
      <c r="F100" s="418" t="s">
        <v>360</v>
      </c>
      <c r="G100" s="421" t="s">
        <v>99</v>
      </c>
      <c r="J100" s="428"/>
      <c r="K100" s="436"/>
      <c r="L100" s="424" t="s">
        <v>265</v>
      </c>
      <c r="N100" s="41" t="s">
        <v>327</v>
      </c>
      <c r="O100" s="42" t="s">
        <v>82</v>
      </c>
      <c r="P100" s="126" t="s">
        <v>372</v>
      </c>
      <c r="Q100" s="5"/>
      <c r="S100" s="58"/>
      <c r="V100" s="58"/>
      <c r="Z100" s="58"/>
      <c r="AC100" s="58"/>
      <c r="AF100" s="128"/>
    </row>
    <row r="101" spans="2:33" ht="28.5" x14ac:dyDescent="0.25">
      <c r="B101" s="420"/>
      <c r="C101" s="58"/>
      <c r="D101" s="490"/>
      <c r="E101" s="418"/>
      <c r="F101" s="418"/>
      <c r="G101" s="421"/>
      <c r="J101" s="428"/>
      <c r="K101" s="436"/>
      <c r="L101" s="425"/>
      <c r="N101" s="41" t="s">
        <v>370</v>
      </c>
      <c r="O101" s="42" t="s">
        <v>82</v>
      </c>
      <c r="P101" s="126" t="s">
        <v>371</v>
      </c>
      <c r="Q101" s="5"/>
      <c r="S101" s="58"/>
      <c r="V101" s="58"/>
      <c r="Z101" s="58"/>
      <c r="AC101" s="58"/>
      <c r="AF101" s="128"/>
    </row>
    <row r="102" spans="2:33" ht="15.75" x14ac:dyDescent="0.25">
      <c r="B102" s="65" t="s">
        <v>261</v>
      </c>
      <c r="C102" s="58"/>
      <c r="D102" s="311" t="s">
        <v>295</v>
      </c>
      <c r="E102" s="285" t="s">
        <v>361</v>
      </c>
      <c r="F102" s="285" t="s">
        <v>361</v>
      </c>
      <c r="G102" s="307" t="s">
        <v>99</v>
      </c>
      <c r="J102" s="428"/>
      <c r="K102" s="436"/>
      <c r="L102" s="331" t="s">
        <v>265</v>
      </c>
      <c r="N102" s="41" t="s">
        <v>215</v>
      </c>
      <c r="O102" s="283" t="s">
        <v>364</v>
      </c>
      <c r="Q102" s="5"/>
      <c r="S102" s="58"/>
      <c r="V102" s="58"/>
      <c r="Z102" s="58"/>
      <c r="AC102" s="58"/>
      <c r="AF102" s="128"/>
    </row>
    <row r="103" spans="2:33" ht="15.75" x14ac:dyDescent="0.25">
      <c r="B103" s="65" t="s">
        <v>261</v>
      </c>
      <c r="C103" s="58"/>
      <c r="D103" s="311" t="s">
        <v>295</v>
      </c>
      <c r="E103" s="285" t="s">
        <v>400</v>
      </c>
      <c r="F103" s="285" t="s">
        <v>400</v>
      </c>
      <c r="G103" s="358" t="s">
        <v>99</v>
      </c>
      <c r="J103" s="357"/>
      <c r="K103" s="355"/>
      <c r="L103" s="356" t="s">
        <v>369</v>
      </c>
      <c r="N103" s="41"/>
      <c r="O103" s="283"/>
      <c r="Q103" s="5"/>
      <c r="S103" s="58"/>
      <c r="V103" s="58"/>
      <c r="Z103" s="58"/>
      <c r="AC103" s="58"/>
      <c r="AF103" s="128"/>
    </row>
    <row r="104" spans="2:33" ht="15.75" x14ac:dyDescent="0.25">
      <c r="B104" s="65" t="s">
        <v>261</v>
      </c>
      <c r="C104" s="58"/>
      <c r="D104" s="369" t="s">
        <v>293</v>
      </c>
      <c r="E104" s="285" t="s">
        <v>401</v>
      </c>
      <c r="F104" s="285" t="s">
        <v>401</v>
      </c>
      <c r="G104" s="358" t="s">
        <v>99</v>
      </c>
      <c r="J104" s="357"/>
      <c r="K104" s="355"/>
      <c r="L104" s="360" t="s">
        <v>438</v>
      </c>
      <c r="N104" s="41" t="s">
        <v>354</v>
      </c>
      <c r="O104" s="42" t="s">
        <v>82</v>
      </c>
      <c r="Q104" s="415" t="s">
        <v>441</v>
      </c>
      <c r="S104" s="58"/>
      <c r="V104" s="58"/>
      <c r="Z104" s="58"/>
      <c r="AC104" s="58"/>
      <c r="AF104" s="128"/>
    </row>
    <row r="105" spans="2:33" ht="15.75" x14ac:dyDescent="0.25">
      <c r="B105" s="65" t="s">
        <v>261</v>
      </c>
      <c r="C105" s="58"/>
      <c r="D105" s="311" t="s">
        <v>295</v>
      </c>
      <c r="E105" s="285" t="s">
        <v>416</v>
      </c>
      <c r="F105" s="285"/>
      <c r="G105" s="401" t="s">
        <v>99</v>
      </c>
      <c r="J105" s="377"/>
      <c r="K105" s="376"/>
      <c r="L105" s="377"/>
      <c r="N105" s="41" t="s">
        <v>354</v>
      </c>
      <c r="O105" s="383"/>
      <c r="Q105" s="5"/>
      <c r="S105" s="58"/>
      <c r="V105" s="58"/>
      <c r="Z105" s="58"/>
      <c r="AC105" s="58"/>
      <c r="AF105" s="128"/>
    </row>
    <row r="106" spans="2:33" ht="9" customHeight="1" x14ac:dyDescent="0.25">
      <c r="B106" s="47"/>
      <c r="C106" s="48"/>
      <c r="D106" s="215"/>
      <c r="E106" s="49"/>
      <c r="F106" s="49"/>
      <c r="G106" s="49"/>
      <c r="H106" s="49"/>
      <c r="I106" s="49"/>
      <c r="J106" s="50"/>
      <c r="K106" s="50"/>
      <c r="L106" s="50"/>
      <c r="M106" s="49"/>
      <c r="N106" s="50"/>
      <c r="O106" s="49"/>
      <c r="P106" s="49"/>
      <c r="Q106" s="49"/>
      <c r="R106" s="51"/>
      <c r="S106" s="48"/>
      <c r="T106" s="51"/>
      <c r="U106" s="68"/>
      <c r="V106" s="48"/>
      <c r="W106" s="51"/>
      <c r="X106" s="51"/>
      <c r="Y106" s="51"/>
      <c r="Z106" s="48"/>
      <c r="AA106" s="51"/>
      <c r="AB106" s="51"/>
      <c r="AC106" s="48"/>
      <c r="AD106" s="51"/>
      <c r="AE106" s="51"/>
      <c r="AF106" s="134"/>
      <c r="AG106" s="138"/>
    </row>
    <row r="107" spans="2:33" ht="15.75" x14ac:dyDescent="0.25">
      <c r="B107" s="65" t="s">
        <v>313</v>
      </c>
      <c r="C107" s="58"/>
      <c r="D107" s="311" t="s">
        <v>295</v>
      </c>
      <c r="E107" s="285" t="s">
        <v>399</v>
      </c>
      <c r="G107" s="378"/>
      <c r="J107" s="377"/>
      <c r="K107" s="376"/>
      <c r="L107" s="377"/>
      <c r="N107" s="43" t="s">
        <v>417</v>
      </c>
      <c r="O107" s="383"/>
      <c r="Q107" s="5"/>
      <c r="S107" s="58"/>
      <c r="V107" s="58"/>
      <c r="Z107" s="58"/>
      <c r="AC107" s="58"/>
      <c r="AF107" s="128"/>
    </row>
    <row r="108" spans="2:33" ht="9" customHeight="1" x14ac:dyDescent="0.25">
      <c r="B108" s="47"/>
      <c r="C108" s="48"/>
      <c r="D108" s="215"/>
      <c r="E108" s="49"/>
      <c r="F108" s="49"/>
      <c r="G108" s="49"/>
      <c r="H108" s="49"/>
      <c r="I108" s="49"/>
      <c r="J108" s="50"/>
      <c r="K108" s="50"/>
      <c r="L108" s="50"/>
      <c r="M108" s="49"/>
      <c r="N108" s="50"/>
      <c r="O108" s="49"/>
      <c r="P108" s="49"/>
      <c r="Q108" s="49"/>
      <c r="R108" s="51"/>
      <c r="S108" s="48"/>
      <c r="T108" s="51"/>
      <c r="U108" s="68"/>
      <c r="V108" s="48"/>
      <c r="W108" s="51"/>
      <c r="X108" s="51"/>
      <c r="Y108" s="51"/>
      <c r="Z108" s="48"/>
      <c r="AA108" s="51"/>
      <c r="AB108" s="51"/>
      <c r="AC108" s="48"/>
      <c r="AD108" s="51"/>
      <c r="AE108" s="51"/>
      <c r="AF108" s="134"/>
      <c r="AG108" s="138"/>
    </row>
    <row r="109" spans="2:33" ht="15.75" x14ac:dyDescent="0.25">
      <c r="B109" s="65" t="s">
        <v>403</v>
      </c>
      <c r="C109" s="58"/>
      <c r="D109" s="311" t="s">
        <v>398</v>
      </c>
      <c r="E109" s="285" t="s">
        <v>402</v>
      </c>
      <c r="G109" s="378"/>
      <c r="J109" s="377"/>
      <c r="K109" s="376"/>
      <c r="L109" s="377"/>
      <c r="N109" s="43"/>
      <c r="O109" s="383"/>
      <c r="Q109" s="5"/>
      <c r="S109" s="58"/>
      <c r="V109" s="58"/>
      <c r="Z109" s="58"/>
      <c r="AC109" s="58"/>
      <c r="AF109" s="128"/>
    </row>
    <row r="110" spans="2:33" ht="9" customHeight="1" x14ac:dyDescent="0.25">
      <c r="B110" s="47"/>
      <c r="C110" s="48"/>
      <c r="D110" s="215"/>
      <c r="E110" s="49"/>
      <c r="F110" s="49"/>
      <c r="G110" s="49"/>
      <c r="H110" s="49"/>
      <c r="I110" s="49"/>
      <c r="J110" s="50"/>
      <c r="K110" s="50"/>
      <c r="L110" s="50"/>
      <c r="M110" s="49"/>
      <c r="N110" s="50"/>
      <c r="O110" s="49"/>
      <c r="P110" s="49"/>
      <c r="Q110" s="49"/>
      <c r="R110" s="51"/>
      <c r="S110" s="48"/>
      <c r="T110" s="51"/>
      <c r="U110" s="68"/>
      <c r="V110" s="48"/>
      <c r="W110" s="51"/>
      <c r="X110" s="51"/>
      <c r="Y110" s="51"/>
      <c r="Z110" s="48"/>
      <c r="AA110" s="51"/>
      <c r="AB110" s="51"/>
      <c r="AC110" s="48"/>
      <c r="AD110" s="51"/>
      <c r="AE110" s="51"/>
      <c r="AF110" s="134"/>
      <c r="AG110" s="138"/>
    </row>
    <row r="111" spans="2:33" ht="15.75" x14ac:dyDescent="0.25">
      <c r="B111" s="420" t="s">
        <v>431</v>
      </c>
      <c r="C111" s="58"/>
      <c r="D111" s="488" t="s">
        <v>295</v>
      </c>
      <c r="E111" s="418" t="s">
        <v>432</v>
      </c>
      <c r="F111" s="489"/>
      <c r="G111" s="421" t="s">
        <v>99</v>
      </c>
      <c r="J111" s="428" t="s">
        <v>436</v>
      </c>
      <c r="K111" s="428" t="s">
        <v>139</v>
      </c>
      <c r="L111" s="402" t="s">
        <v>411</v>
      </c>
      <c r="N111" s="43" t="s">
        <v>417</v>
      </c>
      <c r="O111" s="403"/>
      <c r="Q111" s="5"/>
      <c r="S111" s="58"/>
      <c r="V111" s="58"/>
      <c r="Z111" s="58"/>
      <c r="AC111" s="58"/>
      <c r="AF111" s="128"/>
    </row>
    <row r="112" spans="2:33" ht="15.75" x14ac:dyDescent="0.25">
      <c r="B112" s="420"/>
      <c r="C112" s="58"/>
      <c r="D112" s="488"/>
      <c r="E112" s="418"/>
      <c r="F112" s="489"/>
      <c r="G112" s="421"/>
      <c r="J112" s="428"/>
      <c r="K112" s="428"/>
      <c r="L112" s="404"/>
      <c r="N112" s="43" t="s">
        <v>83</v>
      </c>
      <c r="O112" s="405"/>
      <c r="Q112" s="5"/>
      <c r="S112" s="58"/>
      <c r="V112" s="58"/>
      <c r="Z112" s="58"/>
      <c r="AC112" s="58"/>
      <c r="AF112" s="128"/>
    </row>
    <row r="113" spans="2:32" ht="15.75" x14ac:dyDescent="0.25">
      <c r="B113" s="65" t="s">
        <v>431</v>
      </c>
      <c r="C113" s="58"/>
      <c r="D113" s="311" t="s">
        <v>295</v>
      </c>
      <c r="E113" s="285" t="s">
        <v>433</v>
      </c>
      <c r="G113" s="401" t="s">
        <v>99</v>
      </c>
      <c r="J113" s="478"/>
      <c r="K113" s="428"/>
      <c r="L113" s="404" t="s">
        <v>235</v>
      </c>
      <c r="N113" s="43" t="s">
        <v>83</v>
      </c>
      <c r="O113" s="403"/>
      <c r="Q113" s="5"/>
      <c r="S113" s="58"/>
      <c r="V113" s="58"/>
      <c r="Z113" s="58"/>
      <c r="AC113" s="58"/>
      <c r="AF113" s="128"/>
    </row>
    <row r="114" spans="2:32" ht="15.75" x14ac:dyDescent="0.25">
      <c r="B114" s="65" t="s">
        <v>431</v>
      </c>
      <c r="C114" s="58"/>
      <c r="D114" s="311" t="s">
        <v>295</v>
      </c>
      <c r="E114" s="285" t="s">
        <v>434</v>
      </c>
      <c r="G114" s="401" t="s">
        <v>99</v>
      </c>
      <c r="J114" s="478"/>
      <c r="K114" s="428"/>
      <c r="L114" s="404" t="s">
        <v>188</v>
      </c>
      <c r="N114" s="43" t="s">
        <v>83</v>
      </c>
      <c r="O114" s="403"/>
      <c r="Q114" s="5"/>
      <c r="S114" s="58"/>
      <c r="V114" s="58"/>
      <c r="Z114" s="58"/>
      <c r="AC114" s="58"/>
      <c r="AF114" s="128"/>
    </row>
    <row r="115" spans="2:32" ht="15.75" x14ac:dyDescent="0.25">
      <c r="B115" s="65" t="s">
        <v>431</v>
      </c>
      <c r="C115" s="58"/>
      <c r="D115" s="311" t="s">
        <v>295</v>
      </c>
      <c r="E115" s="285" t="s">
        <v>435</v>
      </c>
      <c r="G115" s="401" t="s">
        <v>99</v>
      </c>
      <c r="J115" s="478"/>
      <c r="K115" s="428"/>
      <c r="L115" s="404" t="s">
        <v>188</v>
      </c>
      <c r="N115" s="43" t="s">
        <v>83</v>
      </c>
      <c r="O115" s="403"/>
      <c r="Q115" s="5"/>
      <c r="S115" s="58"/>
      <c r="V115" s="58"/>
      <c r="Z115" s="58"/>
      <c r="AC115" s="58"/>
      <c r="AF115" s="128"/>
    </row>
    <row r="116" spans="2:32" ht="15.75" x14ac:dyDescent="0.25">
      <c r="B116" s="65"/>
      <c r="C116" s="58"/>
      <c r="E116" s="58"/>
      <c r="Q116" s="5"/>
      <c r="S116" s="58"/>
      <c r="V116" s="58"/>
      <c r="Z116" s="58"/>
      <c r="AC116" s="58"/>
      <c r="AF116" s="128"/>
    </row>
    <row r="117" spans="2:32" ht="15.75" x14ac:dyDescent="0.25">
      <c r="B117" s="65"/>
      <c r="C117" s="58"/>
      <c r="E117" s="58"/>
      <c r="Q117" s="5"/>
      <c r="S117" s="58"/>
      <c r="V117" s="58"/>
      <c r="Z117" s="58"/>
      <c r="AC117" s="58"/>
      <c r="AF117" s="128"/>
    </row>
    <row r="118" spans="2:32" ht="15.75" x14ac:dyDescent="0.25">
      <c r="B118" s="65"/>
      <c r="C118" s="58"/>
      <c r="E118" s="58"/>
      <c r="Q118" s="5"/>
      <c r="S118" s="58"/>
      <c r="V118" s="58"/>
      <c r="Z118" s="58"/>
      <c r="AC118" s="58"/>
      <c r="AF118" s="128"/>
    </row>
    <row r="119" spans="2:32" ht="15.75" x14ac:dyDescent="0.25">
      <c r="B119" s="65"/>
      <c r="C119" s="58"/>
      <c r="E119" s="58"/>
      <c r="Q119" s="5"/>
      <c r="S119" s="58"/>
      <c r="V119" s="58"/>
      <c r="Z119" s="58"/>
      <c r="AC119" s="58"/>
      <c r="AF119" s="128"/>
    </row>
    <row r="120" spans="2:32" ht="15.75" x14ac:dyDescent="0.25">
      <c r="B120" s="65"/>
      <c r="C120" s="58"/>
      <c r="E120" s="58"/>
      <c r="Q120" s="5"/>
      <c r="S120" s="58"/>
      <c r="V120" s="58"/>
      <c r="Z120" s="58"/>
      <c r="AC120" s="58"/>
      <c r="AF120" s="128"/>
    </row>
    <row r="121" spans="2:32" ht="15.75" x14ac:dyDescent="0.25">
      <c r="B121" s="65"/>
      <c r="C121" s="58"/>
      <c r="E121" s="58"/>
      <c r="Q121" s="5"/>
      <c r="S121" s="58"/>
      <c r="V121" s="58"/>
      <c r="Z121" s="58"/>
      <c r="AC121" s="58"/>
      <c r="AF121" s="128"/>
    </row>
    <row r="122" spans="2:32" ht="15.75" x14ac:dyDescent="0.25">
      <c r="B122" s="65"/>
      <c r="C122" s="58"/>
      <c r="E122" s="58"/>
      <c r="Q122" s="5"/>
      <c r="S122" s="58"/>
      <c r="V122" s="58"/>
      <c r="Z122" s="58"/>
      <c r="AC122" s="58"/>
      <c r="AF122" s="128"/>
    </row>
    <row r="123" spans="2:32" ht="15.75" x14ac:dyDescent="0.25">
      <c r="B123" s="65"/>
      <c r="C123" s="58"/>
      <c r="E123" s="58"/>
      <c r="Q123" s="5"/>
      <c r="S123" s="58"/>
      <c r="V123" s="58"/>
      <c r="Z123" s="58"/>
      <c r="AC123" s="58"/>
      <c r="AF123" s="128"/>
    </row>
    <row r="124" spans="2:32" ht="15.75" x14ac:dyDescent="0.25">
      <c r="B124" s="65"/>
      <c r="C124" s="58"/>
      <c r="E124" s="58"/>
      <c r="Q124" s="5"/>
      <c r="S124" s="58"/>
      <c r="V124" s="58"/>
      <c r="Z124" s="58"/>
      <c r="AC124" s="58"/>
      <c r="AF124" s="128"/>
    </row>
    <row r="125" spans="2:32" ht="15.75" x14ac:dyDescent="0.25">
      <c r="B125" s="65"/>
      <c r="C125" s="58"/>
      <c r="E125" s="58"/>
      <c r="Q125" s="5"/>
      <c r="S125" s="58"/>
      <c r="V125" s="58"/>
      <c r="Z125" s="58"/>
      <c r="AC125" s="58"/>
      <c r="AF125" s="128"/>
    </row>
    <row r="126" spans="2:32" ht="15.75" x14ac:dyDescent="0.25">
      <c r="B126" s="65"/>
      <c r="C126" s="58"/>
      <c r="E126" s="58"/>
      <c r="Q126" s="5"/>
      <c r="S126" s="58"/>
      <c r="V126" s="58"/>
      <c r="Z126" s="58"/>
      <c r="AC126" s="58"/>
      <c r="AF126" s="128"/>
    </row>
    <row r="127" spans="2:32" ht="15.75" x14ac:dyDescent="0.25">
      <c r="B127" s="65"/>
      <c r="C127" s="58"/>
      <c r="E127" s="58"/>
      <c r="Q127" s="5"/>
      <c r="S127" s="58"/>
      <c r="V127" s="58"/>
      <c r="Z127" s="58"/>
      <c r="AC127" s="58"/>
      <c r="AF127" s="128"/>
    </row>
    <row r="128" spans="2:32" ht="15.75" x14ac:dyDescent="0.25">
      <c r="B128" s="65"/>
      <c r="C128" s="58"/>
      <c r="E128" s="58"/>
      <c r="Q128" s="5"/>
      <c r="S128" s="58"/>
      <c r="V128" s="58"/>
      <c r="Z128" s="58"/>
      <c r="AC128" s="58"/>
      <c r="AF128" s="128"/>
    </row>
    <row r="129" spans="2:32" ht="15.75" x14ac:dyDescent="0.25">
      <c r="B129" s="65"/>
      <c r="C129" s="58"/>
      <c r="E129" s="58"/>
      <c r="Q129" s="5"/>
      <c r="S129" s="58"/>
      <c r="V129" s="58"/>
      <c r="Z129" s="58"/>
      <c r="AC129" s="58"/>
      <c r="AF129" s="128"/>
    </row>
    <row r="130" spans="2:32" ht="15.75" x14ac:dyDescent="0.25">
      <c r="B130" s="65"/>
      <c r="C130" s="58"/>
      <c r="E130" s="58"/>
      <c r="Q130" s="5"/>
      <c r="S130" s="58"/>
      <c r="V130" s="58"/>
      <c r="Z130" s="58"/>
      <c r="AC130" s="58"/>
      <c r="AF130" s="128"/>
    </row>
    <row r="131" spans="2:32" ht="15.75" x14ac:dyDescent="0.25">
      <c r="B131" s="65"/>
      <c r="C131" s="58"/>
      <c r="E131" s="58"/>
      <c r="Q131" s="5"/>
      <c r="S131" s="58"/>
      <c r="V131" s="58"/>
      <c r="Z131" s="58"/>
      <c r="AC131" s="58"/>
      <c r="AF131" s="128"/>
    </row>
    <row r="132" spans="2:32" ht="15.75" x14ac:dyDescent="0.25">
      <c r="B132" s="65"/>
      <c r="C132" s="58"/>
      <c r="E132" s="58"/>
      <c r="Q132" s="5"/>
      <c r="S132" s="58"/>
      <c r="V132" s="58"/>
      <c r="Z132" s="58"/>
      <c r="AC132" s="58"/>
      <c r="AF132" s="128"/>
    </row>
    <row r="133" spans="2:32" ht="15.75" x14ac:dyDescent="0.25">
      <c r="B133" s="65"/>
      <c r="C133" s="58"/>
      <c r="E133" s="58"/>
      <c r="Q133" s="5"/>
      <c r="S133" s="58"/>
      <c r="V133" s="58"/>
      <c r="Z133" s="58"/>
      <c r="AC133" s="58"/>
      <c r="AF133" s="128"/>
    </row>
    <row r="134" spans="2:32" ht="15.75" x14ac:dyDescent="0.25">
      <c r="B134" s="65"/>
      <c r="C134" s="58"/>
      <c r="E134" s="58"/>
      <c r="Q134" s="5"/>
      <c r="S134" s="58"/>
      <c r="V134" s="58"/>
      <c r="Z134" s="58"/>
      <c r="AC134" s="58"/>
      <c r="AF134" s="128"/>
    </row>
    <row r="135" spans="2:32" ht="15.75" x14ac:dyDescent="0.25">
      <c r="B135" s="65"/>
      <c r="C135" s="58"/>
      <c r="E135" s="58"/>
      <c r="Q135" s="5"/>
      <c r="S135" s="58"/>
      <c r="V135" s="58"/>
      <c r="Z135" s="58"/>
      <c r="AC135" s="58"/>
      <c r="AF135" s="128"/>
    </row>
    <row r="136" spans="2:32" ht="15.75" x14ac:dyDescent="0.25">
      <c r="B136" s="65"/>
      <c r="C136" s="58"/>
      <c r="E136" s="58"/>
      <c r="Q136" s="5"/>
      <c r="S136" s="58"/>
      <c r="V136" s="58"/>
      <c r="Z136" s="58"/>
      <c r="AC136" s="58"/>
      <c r="AF136" s="128"/>
    </row>
    <row r="137" spans="2:32" ht="15.75" x14ac:dyDescent="0.25">
      <c r="B137" s="65"/>
      <c r="C137" s="58"/>
      <c r="E137" s="58"/>
      <c r="Q137" s="5"/>
      <c r="S137" s="58"/>
      <c r="V137" s="58"/>
      <c r="Z137" s="58"/>
      <c r="AC137" s="58"/>
      <c r="AF137" s="128"/>
    </row>
    <row r="138" spans="2:32" ht="15.75" x14ac:dyDescent="0.25">
      <c r="B138" s="65"/>
      <c r="C138" s="58"/>
      <c r="E138" s="58"/>
      <c r="Q138" s="5"/>
      <c r="S138" s="58"/>
      <c r="V138" s="58"/>
      <c r="Z138" s="58"/>
      <c r="AC138" s="58"/>
      <c r="AF138" s="128"/>
    </row>
    <row r="139" spans="2:32" ht="15.75" x14ac:dyDescent="0.25">
      <c r="B139" s="65"/>
      <c r="C139" s="58"/>
      <c r="E139" s="58"/>
      <c r="Q139" s="5"/>
      <c r="S139" s="58"/>
      <c r="V139" s="58"/>
      <c r="Z139" s="58"/>
      <c r="AC139" s="58"/>
      <c r="AF139" s="128"/>
    </row>
    <row r="140" spans="2:32" ht="15.75" x14ac:dyDescent="0.25">
      <c r="B140" s="65"/>
      <c r="C140" s="58"/>
      <c r="E140" s="58"/>
      <c r="Q140" s="5"/>
      <c r="S140" s="58"/>
      <c r="V140" s="58"/>
      <c r="Z140" s="58"/>
      <c r="AC140" s="58"/>
      <c r="AF140" s="128"/>
    </row>
    <row r="141" spans="2:32" ht="15.75" x14ac:dyDescent="0.25">
      <c r="B141" s="65"/>
      <c r="C141" s="58"/>
      <c r="E141" s="58"/>
      <c r="Q141" s="5"/>
      <c r="S141" s="58"/>
      <c r="V141" s="58"/>
      <c r="Z141" s="58"/>
      <c r="AC141" s="58"/>
      <c r="AF141" s="128"/>
    </row>
    <row r="142" spans="2:32" ht="15.75" x14ac:dyDescent="0.25">
      <c r="B142" s="65"/>
      <c r="C142" s="58"/>
      <c r="E142" s="58"/>
      <c r="Q142" s="5"/>
      <c r="S142" s="58"/>
      <c r="V142" s="58"/>
      <c r="Z142" s="58"/>
      <c r="AC142" s="58"/>
    </row>
    <row r="143" spans="2:32" ht="15.75" x14ac:dyDescent="0.25">
      <c r="B143" s="65"/>
      <c r="C143" s="58"/>
      <c r="E143" s="58"/>
      <c r="Q143" s="5"/>
      <c r="S143" s="58"/>
      <c r="V143" s="58"/>
      <c r="Z143" s="58"/>
      <c r="AC143" s="58"/>
    </row>
    <row r="144" spans="2:32" ht="15.75" x14ac:dyDescent="0.25">
      <c r="B144" s="65"/>
      <c r="C144" s="58"/>
      <c r="E144" s="58"/>
      <c r="Q144" s="5"/>
      <c r="S144" s="58"/>
      <c r="V144" s="58"/>
      <c r="Z144" s="58"/>
      <c r="AC144" s="58"/>
    </row>
    <row r="145" spans="2:29" ht="15.75" x14ac:dyDescent="0.25">
      <c r="B145" s="65"/>
      <c r="C145" s="58"/>
      <c r="E145" s="58"/>
      <c r="Q145" s="5"/>
      <c r="S145" s="58"/>
      <c r="V145" s="58"/>
      <c r="Z145" s="58"/>
      <c r="AC145" s="58"/>
    </row>
    <row r="146" spans="2:29" ht="15.75" x14ac:dyDescent="0.25">
      <c r="B146" s="65"/>
      <c r="C146" s="58"/>
      <c r="E146" s="58"/>
      <c r="Q146" s="5"/>
      <c r="S146" s="58"/>
      <c r="V146" s="58"/>
      <c r="Z146" s="58"/>
      <c r="AC146" s="58"/>
    </row>
    <row r="147" spans="2:29" ht="15.75" x14ac:dyDescent="0.25">
      <c r="B147" s="65"/>
      <c r="C147" s="58"/>
      <c r="E147" s="58"/>
      <c r="Q147" s="5"/>
      <c r="S147" s="58"/>
      <c r="V147" s="58"/>
      <c r="Z147" s="58"/>
      <c r="AC147" s="58"/>
    </row>
    <row r="148" spans="2:29" ht="15.75" x14ac:dyDescent="0.25">
      <c r="B148" s="65"/>
      <c r="C148" s="58"/>
      <c r="E148" s="58"/>
      <c r="Q148" s="5"/>
      <c r="S148" s="58"/>
      <c r="V148" s="58"/>
      <c r="Z148" s="58"/>
      <c r="AC148" s="58"/>
    </row>
    <row r="149" spans="2:29" ht="15.75" x14ac:dyDescent="0.25">
      <c r="B149" s="65"/>
      <c r="C149" s="58"/>
      <c r="E149" s="58"/>
      <c r="Q149" s="5"/>
      <c r="S149" s="58"/>
      <c r="V149" s="58"/>
      <c r="Z149" s="58"/>
      <c r="AC149" s="58"/>
    </row>
    <row r="150" spans="2:29" ht="15.75" x14ac:dyDescent="0.25">
      <c r="B150" s="65"/>
      <c r="C150" s="58"/>
      <c r="E150" s="58"/>
      <c r="Q150" s="5"/>
      <c r="S150" s="58"/>
      <c r="V150" s="58"/>
      <c r="Z150" s="58"/>
      <c r="AC150" s="58"/>
    </row>
    <row r="151" spans="2:29" ht="15.75" x14ac:dyDescent="0.25">
      <c r="B151" s="65"/>
      <c r="C151" s="58"/>
      <c r="E151" s="58"/>
      <c r="Q151" s="5"/>
      <c r="S151" s="58"/>
      <c r="V151" s="58"/>
      <c r="Z151" s="58"/>
      <c r="AC151" s="58"/>
    </row>
    <row r="152" spans="2:29" ht="15.75" x14ac:dyDescent="0.25">
      <c r="B152" s="65"/>
      <c r="C152" s="58"/>
      <c r="E152" s="58"/>
      <c r="Q152" s="5"/>
      <c r="S152" s="58"/>
      <c r="V152" s="58"/>
      <c r="Z152" s="58"/>
      <c r="AC152" s="58"/>
    </row>
    <row r="153" spans="2:29" ht="15.75" x14ac:dyDescent="0.25">
      <c r="B153" s="65"/>
      <c r="C153" s="58"/>
      <c r="E153" s="58"/>
      <c r="Q153" s="5"/>
      <c r="S153" s="58"/>
      <c r="V153" s="58"/>
      <c r="Z153" s="58"/>
      <c r="AC153" s="58"/>
    </row>
    <row r="154" spans="2:29" ht="15.75" x14ac:dyDescent="0.25">
      <c r="B154" s="65"/>
      <c r="C154" s="58"/>
      <c r="E154" s="58"/>
      <c r="Q154" s="5"/>
      <c r="S154" s="58"/>
      <c r="V154" s="58"/>
      <c r="Z154" s="58"/>
      <c r="AC154" s="58"/>
    </row>
    <row r="155" spans="2:29" ht="15.75" x14ac:dyDescent="0.25">
      <c r="B155" s="65"/>
      <c r="C155" s="58"/>
      <c r="E155" s="58"/>
      <c r="Q155" s="5"/>
      <c r="S155" s="58"/>
      <c r="V155" s="58"/>
      <c r="Z155" s="58"/>
      <c r="AC155" s="58"/>
    </row>
    <row r="156" spans="2:29" ht="15.75" x14ac:dyDescent="0.25">
      <c r="B156" s="65"/>
      <c r="C156" s="58"/>
      <c r="E156" s="58"/>
      <c r="Q156" s="5"/>
      <c r="S156" s="58"/>
      <c r="V156" s="58"/>
      <c r="Z156" s="58"/>
      <c r="AC156" s="58"/>
    </row>
    <row r="157" spans="2:29" ht="15.75" x14ac:dyDescent="0.25">
      <c r="B157" s="65"/>
      <c r="C157" s="58"/>
      <c r="E157" s="58"/>
      <c r="Q157" s="5"/>
      <c r="S157" s="58"/>
      <c r="V157" s="58"/>
      <c r="Z157" s="58"/>
      <c r="AC157" s="58"/>
    </row>
  </sheetData>
  <autoFilter ref="D3:H31"/>
  <mergeCells count="220">
    <mergeCell ref="J111:J115"/>
    <mergeCell ref="K111:K115"/>
    <mergeCell ref="G111:G112"/>
    <mergeCell ref="E111:E112"/>
    <mergeCell ref="D111:D112"/>
    <mergeCell ref="B111:B112"/>
    <mergeCell ref="F111:F112"/>
    <mergeCell ref="F36:F39"/>
    <mergeCell ref="F77:F78"/>
    <mergeCell ref="E77:E78"/>
    <mergeCell ref="B77:B78"/>
    <mergeCell ref="K48:K56"/>
    <mergeCell ref="K89:K91"/>
    <mergeCell ref="J58:J59"/>
    <mergeCell ref="K58:K59"/>
    <mergeCell ref="B100:B101"/>
    <mergeCell ref="D100:D101"/>
    <mergeCell ref="E100:E101"/>
    <mergeCell ref="F100:F101"/>
    <mergeCell ref="G100:G101"/>
    <mergeCell ref="F97:F98"/>
    <mergeCell ref="G97:G98"/>
    <mergeCell ref="B60:B61"/>
    <mergeCell ref="F93:F94"/>
    <mergeCell ref="E19:E21"/>
    <mergeCell ref="D19:D21"/>
    <mergeCell ref="E52:E54"/>
    <mergeCell ref="D36:D39"/>
    <mergeCell ref="D60:D61"/>
    <mergeCell ref="F52:F54"/>
    <mergeCell ref="D77:D78"/>
    <mergeCell ref="B64:B66"/>
    <mergeCell ref="E67:E68"/>
    <mergeCell ref="E64:E66"/>
    <mergeCell ref="B22:B31"/>
    <mergeCell ref="D22:D31"/>
    <mergeCell ref="E22:E31"/>
    <mergeCell ref="F22:F31"/>
    <mergeCell ref="D52:D54"/>
    <mergeCell ref="E36:E39"/>
    <mergeCell ref="B67:B68"/>
    <mergeCell ref="B19:B21"/>
    <mergeCell ref="E60:E61"/>
    <mergeCell ref="B52:B54"/>
    <mergeCell ref="B36:B39"/>
    <mergeCell ref="D67:D68"/>
    <mergeCell ref="F60:F61"/>
    <mergeCell ref="F64:F66"/>
    <mergeCell ref="L97:L98"/>
    <mergeCell ref="L22:L31"/>
    <mergeCell ref="U16:U17"/>
    <mergeCell ref="U77:U78"/>
    <mergeCell ref="W79:W80"/>
    <mergeCell ref="U79:U80"/>
    <mergeCell ref="L16:L17"/>
    <mergeCell ref="L52:L54"/>
    <mergeCell ref="R16:R17"/>
    <mergeCell ref="U60:U61"/>
    <mergeCell ref="L60:L61"/>
    <mergeCell ref="U36:U39"/>
    <mergeCell ref="W67:W68"/>
    <mergeCell ref="W36:W39"/>
    <mergeCell ref="W60:W61"/>
    <mergeCell ref="Q95:Q96"/>
    <mergeCell ref="Q93:Q94"/>
    <mergeCell ref="AD36:AD39"/>
    <mergeCell ref="Y60:Y61"/>
    <mergeCell ref="Y16:Y17"/>
    <mergeCell ref="AF16:AF17"/>
    <mergeCell ref="X67:X68"/>
    <mergeCell ref="AA36:AA39"/>
    <mergeCell ref="AE16:AE17"/>
    <mergeCell ref="AD16:AD17"/>
    <mergeCell ref="AB16:AB17"/>
    <mergeCell ref="AA16:AA17"/>
    <mergeCell ref="Y67:Y68"/>
    <mergeCell ref="Y36:Y39"/>
    <mergeCell ref="Y64:Y66"/>
    <mergeCell ref="E4:E9"/>
    <mergeCell ref="G4:G9"/>
    <mergeCell ref="F4:F9"/>
    <mergeCell ref="AG4:AG9"/>
    <mergeCell ref="AG10:AG11"/>
    <mergeCell ref="AG13:AG14"/>
    <mergeCell ref="AG16:AG17"/>
    <mergeCell ref="AG36:AG39"/>
    <mergeCell ref="W77:W78"/>
    <mergeCell ref="X77:X78"/>
    <mergeCell ref="Y77:Y78"/>
    <mergeCell ref="AD60:AD61"/>
    <mergeCell ref="AB60:AB61"/>
    <mergeCell ref="AA60:AA61"/>
    <mergeCell ref="AE60:AE61"/>
    <mergeCell ref="W44:Y44"/>
    <mergeCell ref="AF4:AF9"/>
    <mergeCell ref="AF10:AF11"/>
    <mergeCell ref="AF13:AF14"/>
    <mergeCell ref="AF36:AF39"/>
    <mergeCell ref="AE36:AE39"/>
    <mergeCell ref="X16:X17"/>
    <mergeCell ref="W16:W17"/>
    <mergeCell ref="AB36:AB39"/>
    <mergeCell ref="J2:K2"/>
    <mergeCell ref="L2:L3"/>
    <mergeCell ref="L4:L9"/>
    <mergeCell ref="B2:B3"/>
    <mergeCell ref="H2:H3"/>
    <mergeCell ref="B10:B11"/>
    <mergeCell ref="E10:E11"/>
    <mergeCell ref="B16:B17"/>
    <mergeCell ref="E16:E17"/>
    <mergeCell ref="B13:B14"/>
    <mergeCell ref="E13:E14"/>
    <mergeCell ref="D10:D11"/>
    <mergeCell ref="G13:G14"/>
    <mergeCell ref="D2:G2"/>
    <mergeCell ref="D4:D9"/>
    <mergeCell ref="G16:G17"/>
    <mergeCell ref="F16:F17"/>
    <mergeCell ref="G10:G11"/>
    <mergeCell ref="F13:F14"/>
    <mergeCell ref="F10:F11"/>
    <mergeCell ref="H10:H11"/>
    <mergeCell ref="D13:D14"/>
    <mergeCell ref="D16:D17"/>
    <mergeCell ref="B4:B9"/>
    <mergeCell ref="N2:R2"/>
    <mergeCell ref="W4:W9"/>
    <mergeCell ref="W2:Y2"/>
    <mergeCell ref="Y10:Y11"/>
    <mergeCell ref="X13:X14"/>
    <mergeCell ref="Y13:Y14"/>
    <mergeCell ref="U4:U9"/>
    <mergeCell ref="T4:T9"/>
    <mergeCell ref="X4:X9"/>
    <mergeCell ref="Y4:Y9"/>
    <mergeCell ref="T13:T14"/>
    <mergeCell ref="W13:W14"/>
    <mergeCell ref="U10:U11"/>
    <mergeCell ref="U13:U14"/>
    <mergeCell ref="T10:T11"/>
    <mergeCell ref="W10:W11"/>
    <mergeCell ref="X10:X11"/>
    <mergeCell ref="AD2:AE2"/>
    <mergeCell ref="AD4:AD9"/>
    <mergeCell ref="AE4:AE9"/>
    <mergeCell ref="AD10:AD11"/>
    <mergeCell ref="AE10:AE11"/>
    <mergeCell ref="AD13:AD14"/>
    <mergeCell ref="AE13:AE14"/>
    <mergeCell ref="AA4:AA9"/>
    <mergeCell ref="AB4:AB9"/>
    <mergeCell ref="AA10:AA11"/>
    <mergeCell ref="AB10:AB11"/>
    <mergeCell ref="AA13:AA14"/>
    <mergeCell ref="AB13:AB14"/>
    <mergeCell ref="AA2:AB2"/>
    <mergeCell ref="G19:G21"/>
    <mergeCell ref="X36:X39"/>
    <mergeCell ref="G64:G66"/>
    <mergeCell ref="G60:G61"/>
    <mergeCell ref="G36:G39"/>
    <mergeCell ref="U53:U54"/>
    <mergeCell ref="X60:X61"/>
    <mergeCell ref="G52:G54"/>
    <mergeCell ref="L36:L39"/>
    <mergeCell ref="J33:J41"/>
    <mergeCell ref="J48:J56"/>
    <mergeCell ref="K33:K46"/>
    <mergeCell ref="J42:J46"/>
    <mergeCell ref="G22:G31"/>
    <mergeCell ref="K4:K31"/>
    <mergeCell ref="J4:J31"/>
    <mergeCell ref="W64:W66"/>
    <mergeCell ref="X64:X66"/>
    <mergeCell ref="W42:Y42"/>
    <mergeCell ref="W50:Y50"/>
    <mergeCell ref="H4:H9"/>
    <mergeCell ref="L13:L14"/>
    <mergeCell ref="H13:H14"/>
    <mergeCell ref="L10:L11"/>
    <mergeCell ref="L100:L101"/>
    <mergeCell ref="K77:K87"/>
    <mergeCell ref="J93:J102"/>
    <mergeCell ref="K93:K102"/>
    <mergeCell ref="F81:F82"/>
    <mergeCell ref="E81:E82"/>
    <mergeCell ref="D81:D82"/>
    <mergeCell ref="B81:B82"/>
    <mergeCell ref="E95:E96"/>
    <mergeCell ref="D95:D96"/>
    <mergeCell ref="B95:B96"/>
    <mergeCell ref="G95:G96"/>
    <mergeCell ref="F95:F96"/>
    <mergeCell ref="G81:G82"/>
    <mergeCell ref="G77:G78"/>
    <mergeCell ref="F79:F80"/>
    <mergeCell ref="G79:G80"/>
    <mergeCell ref="B79:B80"/>
    <mergeCell ref="E79:E80"/>
    <mergeCell ref="D79:D80"/>
    <mergeCell ref="L95:L96"/>
    <mergeCell ref="B97:B98"/>
    <mergeCell ref="D97:D98"/>
    <mergeCell ref="E97:E98"/>
    <mergeCell ref="E93:E94"/>
    <mergeCell ref="D93:D94"/>
    <mergeCell ref="B93:B94"/>
    <mergeCell ref="G93:G94"/>
    <mergeCell ref="D64:D66"/>
    <mergeCell ref="G67:G68"/>
    <mergeCell ref="F67:F68"/>
    <mergeCell ref="L77:L78"/>
    <mergeCell ref="L79:L80"/>
    <mergeCell ref="J77:J87"/>
    <mergeCell ref="J89:J91"/>
    <mergeCell ref="L81:L82"/>
    <mergeCell ref="K70:K75"/>
    <mergeCell ref="J70:J75"/>
    <mergeCell ref="L93:L94"/>
  </mergeCells>
  <conditionalFormatting sqref="B4:C4 L1 C2:C3 B10:C10 C5:C9 AJ10:AL14 B12:C12 C11 A1:A14 R1 R3 H2 M51:M55 C51:C55 H51:I55 A48:A55 AH5:AL9 AJ4:AL4 B1:C1 T3:U3 T1:U1 AA1:AB1 AA3:AB3 W1:Y1 W3:Y3 AF1:AL3 B63:C63 X63:Y64 C68 Y70:AC75 M43:M44 I43:I44 Q43 A34:C36 S43 T42:T43 W42:W43 V43 X43:AE43 A32 H70:I75 A37:A39 C37:C39 S35:AE36 S44:V44 Z44 AC44 AE44 AD63:AF66 AA63:AB66 V58 E69:F69 I3:I31 M12:M31 A15:C16 S15:T31 V15:AE16 Q15:Q17 R63:S63 M64:M68 S60:S62 Z67:AF68 V63:V68 B67:C67 A62:C62 W67 V62:W62 O67:T68 Q62:Q66 S70:T75 AF60:AF61 Z60:Z63 AC60:AC63 T60:T66 AH43:AL44 Q51:Q55 F15 AH48:AL55 AE70:AE75 A95:A96 W77 W79 A43:C44 AH34:AL41 Z37:Z41 V37:V41 AC37:AC41 S37:T41 Q35:Q41 A40:C41 I34:I41 M34:M41 W81:W83 E43:F44 E62 E67:F67 E15:E16 E35:F36 E63:F63 E1:H1 E10 E4 E12:E13 E42 E33:E34 E77 E45 E46:F46 D2 C95:C96 H95:I96 V18:AE31 V17 Z17 AC17 A98:A99 Q19 V95:AL96 M95:M96 Q95:T95 C98 Q98:AL98 V60:V61 V70:W75 V69:AF69 A63:A69 AH60:AL75 B69:C69 A59:C59 E70:E75 H69:T69 AG63:AG69 U63:U69 Q59 S59:T59 C100:C102 H98:I102 P99:AL99 A70:C74 M98:M102 P102:AL102 Q100:AL101 A75 M70:Q75 AH15:AL32 B107:C107 F107 E59:E60 P107:AL107 H59:I68 M59:M62 A60:A61 C60:C61 V59:AL59 H113:I115 P113:R115 F113:F115 R96:T96 E116:R157 S113:AL155 A113:A115 A116:D155">
    <cfRule type="containsBlanks" dxfId="572" priority="599">
      <formula>LEN(TRIM(A1))=0</formula>
    </cfRule>
  </conditionalFormatting>
  <conditionalFormatting sqref="B2">
    <cfRule type="containsBlanks" dxfId="571" priority="597">
      <formula>LEN(TRIM(B2))=0</formula>
    </cfRule>
  </conditionalFormatting>
  <conditionalFormatting sqref="A100:A102 A107">
    <cfRule type="containsBlanks" dxfId="570" priority="596">
      <formula>LEN(TRIM(A100))=0</formula>
    </cfRule>
  </conditionalFormatting>
  <conditionalFormatting sqref="I1:I3">
    <cfRule type="containsBlanks" dxfId="569" priority="591">
      <formula>LEN(TRIM(I1))=0</formula>
    </cfRule>
  </conditionalFormatting>
  <conditionalFormatting sqref="N1:P1 N3:P3 N2">
    <cfRule type="containsBlanks" dxfId="568" priority="560">
      <formula>LEN(TRIM(N1))=0</formula>
    </cfRule>
  </conditionalFormatting>
  <conditionalFormatting sqref="M3:M9">
    <cfRule type="containsBlanks" dxfId="567" priority="559">
      <formula>LEN(TRIM(M3))=0</formula>
    </cfRule>
  </conditionalFormatting>
  <conditionalFormatting sqref="M1:M3">
    <cfRule type="containsBlanks" dxfId="566" priority="558">
      <formula>LEN(TRIM(M1))=0</formula>
    </cfRule>
  </conditionalFormatting>
  <conditionalFormatting sqref="M10:M11">
    <cfRule type="containsBlanks" dxfId="565" priority="552">
      <formula>LEN(TRIM(M10))=0</formula>
    </cfRule>
  </conditionalFormatting>
  <conditionalFormatting sqref="Q1">
    <cfRule type="containsBlanks" dxfId="564" priority="551">
      <formula>LEN(TRIM(Q1))=0</formula>
    </cfRule>
  </conditionalFormatting>
  <conditionalFormatting sqref="L2">
    <cfRule type="containsBlanks" dxfId="563" priority="548">
      <formula>LEN(TRIM(L2))=0</formula>
    </cfRule>
  </conditionalFormatting>
  <conditionalFormatting sqref="AH10:AI14">
    <cfRule type="containsBlanks" dxfId="562" priority="545">
      <formula>LEN(TRIM(AH10))=0</formula>
    </cfRule>
  </conditionalFormatting>
  <conditionalFormatting sqref="Q3">
    <cfRule type="containsBlanks" dxfId="561" priority="542">
      <formula>LEN(TRIM(Q3))=0</formula>
    </cfRule>
  </conditionalFormatting>
  <conditionalFormatting sqref="B13:C13 C14">
    <cfRule type="containsBlanks" dxfId="560" priority="543">
      <formula>LEN(TRIM(B13))=0</formula>
    </cfRule>
  </conditionalFormatting>
  <conditionalFormatting sqref="Q14">
    <cfRule type="containsBlanks" dxfId="559" priority="539">
      <formula>LEN(TRIM(Q14))=0</formula>
    </cfRule>
  </conditionalFormatting>
  <conditionalFormatting sqref="Q4 Q6:Q10">
    <cfRule type="containsBlanks" dxfId="558" priority="540">
      <formula>LEN(TRIM(Q4))=0</formula>
    </cfRule>
  </conditionalFormatting>
  <conditionalFormatting sqref="Q11">
    <cfRule type="containsBlanks" dxfId="557" priority="531">
      <formula>LEN(TRIM(Q11))=0</formula>
    </cfRule>
  </conditionalFormatting>
  <conditionalFormatting sqref="Q13">
    <cfRule type="containsBlanks" dxfId="556" priority="530">
      <formula>LEN(TRIM(Q13))=0</formula>
    </cfRule>
  </conditionalFormatting>
  <conditionalFormatting sqref="M42 I42 A42:C42 AH42:AL42">
    <cfRule type="containsBlanks" dxfId="555" priority="529">
      <formula>LEN(TRIM(A42))=0</formula>
    </cfRule>
  </conditionalFormatting>
  <conditionalFormatting sqref="Q33">
    <cfRule type="containsBlanks" dxfId="554" priority="525">
      <formula>LEN(TRIM(Q33))=0</formula>
    </cfRule>
  </conditionalFormatting>
  <conditionalFormatting sqref="M33 I33 A33:C33 AH33:AL33">
    <cfRule type="containsBlanks" dxfId="553" priority="526">
      <formula>LEN(TRIM(A33))=0</formula>
    </cfRule>
  </conditionalFormatting>
  <conditionalFormatting sqref="J1:K1">
    <cfRule type="containsBlanks" dxfId="552" priority="524">
      <formula>LEN(TRIM(J1))=0</formula>
    </cfRule>
  </conditionalFormatting>
  <conditionalFormatting sqref="J2">
    <cfRule type="containsBlanks" dxfId="551" priority="522">
      <formula>LEN(TRIM(J2))=0</formula>
    </cfRule>
  </conditionalFormatting>
  <conditionalFormatting sqref="Q5">
    <cfRule type="containsBlanks" dxfId="550" priority="520">
      <formula>LEN(TRIM(Q5))=0</formula>
    </cfRule>
  </conditionalFormatting>
  <conditionalFormatting sqref="G3">
    <cfRule type="containsBlanks" dxfId="549" priority="519">
      <formula>LEN(TRIM(G3))=0</formula>
    </cfRule>
  </conditionalFormatting>
  <conditionalFormatting sqref="E3:F3">
    <cfRule type="containsBlanks" dxfId="548" priority="518">
      <formula>LEN(TRIM(E3))=0</formula>
    </cfRule>
  </conditionalFormatting>
  <conditionalFormatting sqref="F34">
    <cfRule type="containsBlanks" dxfId="547" priority="517">
      <formula>LEN(TRIM(F34))=0</formula>
    </cfRule>
  </conditionalFormatting>
  <conditionalFormatting sqref="F41:F45">
    <cfRule type="containsBlanks" dxfId="546" priority="514">
      <formula>LEN(TRIM(F41))=0</formula>
    </cfRule>
  </conditionalFormatting>
  <conditionalFormatting sqref="F33">
    <cfRule type="containsBlanks" dxfId="545" priority="513">
      <formula>LEN(TRIM(F33))=0</formula>
    </cfRule>
  </conditionalFormatting>
  <conditionalFormatting sqref="F4 F10 F12">
    <cfRule type="containsBlanks" dxfId="544" priority="512">
      <formula>LEN(TRIM(F4))=0</formula>
    </cfRule>
  </conditionalFormatting>
  <conditionalFormatting sqref="F13">
    <cfRule type="containsBlanks" dxfId="543" priority="511">
      <formula>LEN(TRIM(F13))=0</formula>
    </cfRule>
  </conditionalFormatting>
  <conditionalFormatting sqref="A47 AH47:AL47">
    <cfRule type="containsBlanks" dxfId="542" priority="510">
      <formula>LEN(TRIM(A47))=0</formula>
    </cfRule>
  </conditionalFormatting>
  <conditionalFormatting sqref="M48:M50 I48:I50 B48:C50">
    <cfRule type="containsBlanks" dxfId="541" priority="509">
      <formula>LEN(TRIM(B48))=0</formula>
    </cfRule>
  </conditionalFormatting>
  <conditionalFormatting sqref="F49">
    <cfRule type="containsBlanks" dxfId="540" priority="507">
      <formula>LEN(TRIM(F49))=0</formula>
    </cfRule>
  </conditionalFormatting>
  <conditionalFormatting sqref="E48:E50">
    <cfRule type="containsBlanks" dxfId="539" priority="506">
      <formula>LEN(TRIM(E48))=0</formula>
    </cfRule>
  </conditionalFormatting>
  <conditionalFormatting sqref="E51">
    <cfRule type="containsBlanks" dxfId="538" priority="505">
      <formula>LEN(TRIM(E51))=0</formula>
    </cfRule>
  </conditionalFormatting>
  <conditionalFormatting sqref="E52">
    <cfRule type="containsBlanks" dxfId="537" priority="504">
      <formula>LEN(TRIM(E52))=0</formula>
    </cfRule>
  </conditionalFormatting>
  <conditionalFormatting sqref="B51:B52">
    <cfRule type="containsBlanks" dxfId="536" priority="503">
      <formula>LEN(TRIM(B51))=0</formula>
    </cfRule>
  </conditionalFormatting>
  <conditionalFormatting sqref="A58 T58 AH58:AL58">
    <cfRule type="containsBlanks" dxfId="535" priority="502">
      <formula>LEN(TRIM(A58))=0</formula>
    </cfRule>
  </conditionalFormatting>
  <conditionalFormatting sqref="A57 AH57:AL57">
    <cfRule type="containsBlanks" dxfId="534" priority="501">
      <formula>LEN(TRIM(A57))=0</formula>
    </cfRule>
  </conditionalFormatting>
  <conditionalFormatting sqref="B64">
    <cfRule type="containsBlanks" dxfId="533" priority="487">
      <formula>LEN(TRIM(B64))=0</formula>
    </cfRule>
  </conditionalFormatting>
  <conditionalFormatting sqref="M58 I58 B58:C58 B60">
    <cfRule type="containsBlanks" dxfId="532" priority="500">
      <formula>LEN(TRIM(B58))=0</formula>
    </cfRule>
  </conditionalFormatting>
  <conditionalFormatting sqref="E58">
    <cfRule type="containsBlanks" dxfId="531" priority="497">
      <formula>LEN(TRIM(E58))=0</formula>
    </cfRule>
  </conditionalFormatting>
  <conditionalFormatting sqref="S42">
    <cfRule type="containsBlanks" dxfId="530" priority="483">
      <formula>LEN(TRIM(S42))=0</formula>
    </cfRule>
  </conditionalFormatting>
  <conditionalFormatting sqref="M63 O63:P63">
    <cfRule type="containsBlanks" dxfId="529" priority="493">
      <formula>LEN(TRIM(M63))=0</formula>
    </cfRule>
  </conditionalFormatting>
  <conditionalFormatting sqref="S58">
    <cfRule type="containsBlanks" dxfId="528" priority="480">
      <formula>LEN(TRIM(S58))=0</formula>
    </cfRule>
  </conditionalFormatting>
  <conditionalFormatting sqref="J3:K3">
    <cfRule type="containsBlanks" dxfId="527" priority="489">
      <formula>LEN(TRIM(J3))=0</formula>
    </cfRule>
  </conditionalFormatting>
  <conditionalFormatting sqref="E64 C64:C66">
    <cfRule type="containsBlanks" dxfId="526" priority="488">
      <formula>LEN(TRIM(C64))=0</formula>
    </cfRule>
  </conditionalFormatting>
  <conditionalFormatting sqref="AH4:AI4">
    <cfRule type="containsBlanks" dxfId="525" priority="486">
      <formula>LEN(TRIM(AH4))=0</formula>
    </cfRule>
  </conditionalFormatting>
  <conditionalFormatting sqref="S34 S51:S55 S1:S12">
    <cfRule type="containsBlanks" dxfId="524" priority="485">
      <formula>LEN(TRIM(S1))=0</formula>
    </cfRule>
  </conditionalFormatting>
  <conditionalFormatting sqref="S13:S14">
    <cfRule type="containsBlanks" dxfId="523" priority="484">
      <formula>LEN(TRIM(S13))=0</formula>
    </cfRule>
  </conditionalFormatting>
  <conditionalFormatting sqref="S33">
    <cfRule type="containsBlanks" dxfId="522" priority="482">
      <formula>LEN(TRIM(S33))=0</formula>
    </cfRule>
  </conditionalFormatting>
  <conditionalFormatting sqref="S48:S50">
    <cfRule type="containsBlanks" dxfId="521" priority="481">
      <formula>LEN(TRIM(S48))=0</formula>
    </cfRule>
  </conditionalFormatting>
  <conditionalFormatting sqref="S64:S66">
    <cfRule type="containsBlanks" dxfId="520" priority="479">
      <formula>LEN(TRIM(S64))=0</formula>
    </cfRule>
  </conditionalFormatting>
  <conditionalFormatting sqref="W4">
    <cfRule type="containsBlanks" dxfId="519" priority="472">
      <formula>LEN(TRIM(W4))=0</formula>
    </cfRule>
  </conditionalFormatting>
  <conditionalFormatting sqref="U4">
    <cfRule type="containsBlanks" dxfId="518" priority="477">
      <formula>LEN(TRIM(U4))=0</formula>
    </cfRule>
  </conditionalFormatting>
  <conditionalFormatting sqref="U10">
    <cfRule type="containsBlanks" dxfId="517" priority="476">
      <formula>LEN(TRIM(U10))=0</formula>
    </cfRule>
  </conditionalFormatting>
  <conditionalFormatting sqref="Z64:Z66">
    <cfRule type="containsBlanks" dxfId="516" priority="449">
      <formula>LEN(TRIM(Z64))=0</formula>
    </cfRule>
  </conditionalFormatting>
  <conditionalFormatting sqref="U13">
    <cfRule type="containsBlanks" dxfId="515" priority="474">
      <formula>LEN(TRIM(U13))=0</formula>
    </cfRule>
  </conditionalFormatting>
  <conditionalFormatting sqref="T2:U2">
    <cfRule type="containsBlanks" dxfId="514" priority="473">
      <formula>LEN(TRIM(T2))=0</formula>
    </cfRule>
  </conditionalFormatting>
  <conditionalFormatting sqref="W10">
    <cfRule type="containsBlanks" dxfId="513" priority="471">
      <formula>LEN(TRIM(W10))=0</formula>
    </cfRule>
  </conditionalFormatting>
  <conditionalFormatting sqref="W13">
    <cfRule type="containsBlanks" dxfId="512" priority="470">
      <formula>LEN(TRIM(W13))=0</formula>
    </cfRule>
  </conditionalFormatting>
  <conditionalFormatting sqref="U12 W12">
    <cfRule type="containsBlanks" dxfId="511" priority="469">
      <formula>LEN(TRIM(U12))=0</formula>
    </cfRule>
  </conditionalFormatting>
  <conditionalFormatting sqref="U48:U52">
    <cfRule type="containsBlanks" dxfId="510" priority="419">
      <formula>LEN(TRIM(U48))=0</formula>
    </cfRule>
  </conditionalFormatting>
  <conditionalFormatting sqref="X33:Y34">
    <cfRule type="containsBlanks" dxfId="509" priority="460">
      <formula>LEN(TRIM(X33))=0</formula>
    </cfRule>
  </conditionalFormatting>
  <conditionalFormatting sqref="X4:Y4">
    <cfRule type="containsBlanks" dxfId="508" priority="467">
      <formula>LEN(TRIM(X4))=0</formula>
    </cfRule>
  </conditionalFormatting>
  <conditionalFormatting sqref="X10:Y10">
    <cfRule type="containsBlanks" dxfId="507" priority="466">
      <formula>LEN(TRIM(X10))=0</formula>
    </cfRule>
  </conditionalFormatting>
  <conditionalFormatting sqref="X13:Y13">
    <cfRule type="containsBlanks" dxfId="506" priority="465">
      <formula>LEN(TRIM(X13))=0</formula>
    </cfRule>
  </conditionalFormatting>
  <conditionalFormatting sqref="X12:Y12">
    <cfRule type="containsBlanks" dxfId="505" priority="464">
      <formula>LEN(TRIM(X12))=0</formula>
    </cfRule>
  </conditionalFormatting>
  <conditionalFormatting sqref="T48:T55">
    <cfRule type="containsBlanks" dxfId="504" priority="462">
      <formula>LEN(TRIM(T48))=0</formula>
    </cfRule>
  </conditionalFormatting>
  <conditionalFormatting sqref="W33:W34">
    <cfRule type="containsBlanks" dxfId="503" priority="461">
      <formula>LEN(TRIM(W33))=0</formula>
    </cfRule>
  </conditionalFormatting>
  <conditionalFormatting sqref="W48:W49 W51:W55">
    <cfRule type="containsBlanks" dxfId="502" priority="459">
      <formula>LEN(TRIM(W48))=0</formula>
    </cfRule>
  </conditionalFormatting>
  <conditionalFormatting sqref="X48:Y49 X51:Y55">
    <cfRule type="containsBlanks" dxfId="501" priority="458">
      <formula>LEN(TRIM(X48))=0</formula>
    </cfRule>
  </conditionalFormatting>
  <conditionalFormatting sqref="AA10">
    <cfRule type="containsBlanks" dxfId="500" priority="435">
      <formula>LEN(TRIM(AA10))=0</formula>
    </cfRule>
  </conditionalFormatting>
  <conditionalFormatting sqref="AA13:AB13">
    <cfRule type="containsBlanks" dxfId="499" priority="434">
      <formula>LEN(TRIM(AA13))=0</formula>
    </cfRule>
  </conditionalFormatting>
  <conditionalFormatting sqref="Z34 Z51:Z55 Z1:Z12">
    <cfRule type="containsBlanks" dxfId="498" priority="455">
      <formula>LEN(TRIM(Z1))=0</formula>
    </cfRule>
  </conditionalFormatting>
  <conditionalFormatting sqref="Z13:Z14">
    <cfRule type="containsBlanks" dxfId="497" priority="454">
      <formula>LEN(TRIM(Z13))=0</formula>
    </cfRule>
  </conditionalFormatting>
  <conditionalFormatting sqref="Z42">
    <cfRule type="containsBlanks" dxfId="496" priority="453">
      <formula>LEN(TRIM(Z42))=0</formula>
    </cfRule>
  </conditionalFormatting>
  <conditionalFormatting sqref="Z33">
    <cfRule type="containsBlanks" dxfId="495" priority="452">
      <formula>LEN(TRIM(Z33))=0</formula>
    </cfRule>
  </conditionalFormatting>
  <conditionalFormatting sqref="Z48:Z50">
    <cfRule type="containsBlanks" dxfId="494" priority="451">
      <formula>LEN(TRIM(Z48))=0</formula>
    </cfRule>
  </conditionalFormatting>
  <conditionalFormatting sqref="Z58">
    <cfRule type="containsBlanks" dxfId="493" priority="450">
      <formula>LEN(TRIM(Z58))=0</formula>
    </cfRule>
  </conditionalFormatting>
  <conditionalFormatting sqref="V34 V51:V55 V1:V12">
    <cfRule type="containsBlanks" dxfId="492" priority="448">
      <formula>LEN(TRIM(V1))=0</formula>
    </cfRule>
  </conditionalFormatting>
  <conditionalFormatting sqref="V13:V14">
    <cfRule type="containsBlanks" dxfId="491" priority="447">
      <formula>LEN(TRIM(V13))=0</formula>
    </cfRule>
  </conditionalFormatting>
  <conditionalFormatting sqref="V42">
    <cfRule type="containsBlanks" dxfId="490" priority="446">
      <formula>LEN(TRIM(V42))=0</formula>
    </cfRule>
  </conditionalFormatting>
  <conditionalFormatting sqref="V33">
    <cfRule type="containsBlanks" dxfId="489" priority="445">
      <formula>LEN(TRIM(V33))=0</formula>
    </cfRule>
  </conditionalFormatting>
  <conditionalFormatting sqref="V48:V50">
    <cfRule type="containsBlanks" dxfId="488" priority="444">
      <formula>LEN(TRIM(V48))=0</formula>
    </cfRule>
  </conditionalFormatting>
  <conditionalFormatting sqref="T33">
    <cfRule type="containsBlanks" dxfId="487" priority="421">
      <formula>LEN(TRIM(T33))=0</formula>
    </cfRule>
  </conditionalFormatting>
  <conditionalFormatting sqref="U33:U34 U42:U43">
    <cfRule type="containsBlanks" dxfId="486" priority="420">
      <formula>LEN(TRIM(U33))=0</formula>
    </cfRule>
  </conditionalFormatting>
  <conditionalFormatting sqref="W50">
    <cfRule type="containsBlanks" dxfId="485" priority="441">
      <formula>LEN(TRIM(W50))=0</formula>
    </cfRule>
  </conditionalFormatting>
  <conditionalFormatting sqref="W58 W63:W64 W60">
    <cfRule type="containsBlanks" dxfId="484" priority="440">
      <formula>LEN(TRIM(W58))=0</formula>
    </cfRule>
  </conditionalFormatting>
  <conditionalFormatting sqref="X58:Y58 X62:Y62 X60:Y60">
    <cfRule type="containsBlanks" dxfId="483" priority="437">
      <formula>LEN(TRIM(X58))=0</formula>
    </cfRule>
  </conditionalFormatting>
  <conditionalFormatting sqref="AA4:AB4">
    <cfRule type="containsBlanks" dxfId="482" priority="436">
      <formula>LEN(TRIM(AA4))=0</formula>
    </cfRule>
  </conditionalFormatting>
  <conditionalFormatting sqref="AA12:AB12">
    <cfRule type="containsBlanks" dxfId="481" priority="433">
      <formula>LEN(TRIM(AA12))=0</formula>
    </cfRule>
  </conditionalFormatting>
  <conditionalFormatting sqref="AA33:AB34 AA42:AB42">
    <cfRule type="containsBlanks" dxfId="480" priority="432">
      <formula>LEN(TRIM(AA33))=0</formula>
    </cfRule>
  </conditionalFormatting>
  <conditionalFormatting sqref="AA48:AB55">
    <cfRule type="containsBlanks" dxfId="479" priority="431">
      <formula>LEN(TRIM(AA48))=0</formula>
    </cfRule>
  </conditionalFormatting>
  <conditionalFormatting sqref="X67">
    <cfRule type="containsBlanks" dxfId="478" priority="429">
      <formula>LEN(TRIM(X67))=0</formula>
    </cfRule>
  </conditionalFormatting>
  <conditionalFormatting sqref="Y67">
    <cfRule type="containsBlanks" dxfId="477" priority="428">
      <formula>LEN(TRIM(Y67))=0</formula>
    </cfRule>
  </conditionalFormatting>
  <conditionalFormatting sqref="T34">
    <cfRule type="containsBlanks" dxfId="476" priority="422">
      <formula>LEN(TRIM(T34))=0</formula>
    </cfRule>
  </conditionalFormatting>
  <conditionalFormatting sqref="T12">
    <cfRule type="containsBlanks" dxfId="475" priority="426">
      <formula>LEN(TRIM(T12))=0</formula>
    </cfRule>
  </conditionalFormatting>
  <conditionalFormatting sqref="T4">
    <cfRule type="containsBlanks" dxfId="474" priority="425">
      <formula>LEN(TRIM(T4))=0</formula>
    </cfRule>
  </conditionalFormatting>
  <conditionalFormatting sqref="T10">
    <cfRule type="containsBlanks" dxfId="473" priority="424">
      <formula>LEN(TRIM(T10))=0</formula>
    </cfRule>
  </conditionalFormatting>
  <conditionalFormatting sqref="T13">
    <cfRule type="containsBlanks" dxfId="472" priority="423">
      <formula>LEN(TRIM(T13))=0</formula>
    </cfRule>
  </conditionalFormatting>
  <conditionalFormatting sqref="AD1:AE1 AD3:AE3">
    <cfRule type="containsBlanks" dxfId="471" priority="418">
      <formula>LEN(TRIM(AD1))=0</formula>
    </cfRule>
  </conditionalFormatting>
  <conditionalFormatting sqref="AC64:AC66">
    <cfRule type="containsBlanks" dxfId="470" priority="410">
      <formula>LEN(TRIM(AC64))=0</formula>
    </cfRule>
  </conditionalFormatting>
  <conditionalFormatting sqref="AD10">
    <cfRule type="containsBlanks" dxfId="469" priority="408">
      <formula>LEN(TRIM(AD10))=0</formula>
    </cfRule>
  </conditionalFormatting>
  <conditionalFormatting sqref="AD13">
    <cfRule type="containsBlanks" dxfId="468" priority="407">
      <formula>LEN(TRIM(AD13))=0</formula>
    </cfRule>
  </conditionalFormatting>
  <conditionalFormatting sqref="AC34 AC51:AC55 AC1:AC12">
    <cfRule type="containsBlanks" dxfId="467" priority="416">
      <formula>LEN(TRIM(AC1))=0</formula>
    </cfRule>
  </conditionalFormatting>
  <conditionalFormatting sqref="AC13:AC14">
    <cfRule type="containsBlanks" dxfId="466" priority="415">
      <formula>LEN(TRIM(AC13))=0</formula>
    </cfRule>
  </conditionalFormatting>
  <conditionalFormatting sqref="AC42">
    <cfRule type="containsBlanks" dxfId="465" priority="414">
      <formula>LEN(TRIM(AC42))=0</formula>
    </cfRule>
  </conditionalFormatting>
  <conditionalFormatting sqref="AC33">
    <cfRule type="containsBlanks" dxfId="464" priority="413">
      <formula>LEN(TRIM(AC33))=0</formula>
    </cfRule>
  </conditionalFormatting>
  <conditionalFormatting sqref="AC48:AC50">
    <cfRule type="containsBlanks" dxfId="463" priority="412">
      <formula>LEN(TRIM(AC48))=0</formula>
    </cfRule>
  </conditionalFormatting>
  <conditionalFormatting sqref="AC58">
    <cfRule type="containsBlanks" dxfId="462" priority="411">
      <formula>LEN(TRIM(AC58))=0</formula>
    </cfRule>
  </conditionalFormatting>
  <conditionalFormatting sqref="AD4">
    <cfRule type="containsBlanks" dxfId="461" priority="409">
      <formula>LEN(TRIM(AD4))=0</formula>
    </cfRule>
  </conditionalFormatting>
  <conditionalFormatting sqref="AD12:AE12">
    <cfRule type="containsBlanks" dxfId="460" priority="406">
      <formula>LEN(TRIM(AD12))=0</formula>
    </cfRule>
  </conditionalFormatting>
  <conditionalFormatting sqref="AD34:AE34 AD33 AD42:AE42">
    <cfRule type="containsBlanks" dxfId="459" priority="405">
      <formula>LEN(TRIM(AD33))=0</formula>
    </cfRule>
  </conditionalFormatting>
  <conditionalFormatting sqref="AD48:AE55">
    <cfRule type="containsBlanks" dxfId="458" priority="404">
      <formula>LEN(TRIM(AD48))=0</formula>
    </cfRule>
  </conditionalFormatting>
  <conditionalFormatting sqref="AB10">
    <cfRule type="containsBlanks" dxfId="457" priority="403">
      <formula>LEN(TRIM(AB10))=0</formula>
    </cfRule>
  </conditionalFormatting>
  <conditionalFormatting sqref="AE33">
    <cfRule type="containsBlanks" dxfId="456" priority="400">
      <formula>LEN(TRIM(AE33))=0</formula>
    </cfRule>
  </conditionalFormatting>
  <conditionalFormatting sqref="F48">
    <cfRule type="containsBlanks" dxfId="455" priority="396">
      <formula>LEN(TRIM(F48))=0</formula>
    </cfRule>
  </conditionalFormatting>
  <conditionalFormatting sqref="F58">
    <cfRule type="containsBlanks" dxfId="454" priority="395">
      <formula>LEN(TRIM(F58))=0</formula>
    </cfRule>
  </conditionalFormatting>
  <conditionalFormatting sqref="F51">
    <cfRule type="containsBlanks" dxfId="453" priority="394">
      <formula>LEN(TRIM(F51))=0</formula>
    </cfRule>
  </conditionalFormatting>
  <conditionalFormatting sqref="F52">
    <cfRule type="containsBlanks" dxfId="452" priority="393">
      <formula>LEN(TRIM(F52))=0</formula>
    </cfRule>
  </conditionalFormatting>
  <conditionalFormatting sqref="X70:X75">
    <cfRule type="containsBlanks" dxfId="451" priority="387">
      <formula>LEN(TRIM(X70))=0</formula>
    </cfRule>
  </conditionalFormatting>
  <conditionalFormatting sqref="AE13">
    <cfRule type="containsBlanks" dxfId="450" priority="385">
      <formula>LEN(TRIM(AE13))=0</formula>
    </cfRule>
  </conditionalFormatting>
  <conditionalFormatting sqref="AE10">
    <cfRule type="containsBlanks" dxfId="449" priority="384">
      <formula>LEN(TRIM(AE10))=0</formula>
    </cfRule>
  </conditionalFormatting>
  <conditionalFormatting sqref="AE4">
    <cfRule type="containsBlanks" dxfId="448" priority="383">
      <formula>LEN(TRIM(AE4))=0</formula>
    </cfRule>
  </conditionalFormatting>
  <conditionalFormatting sqref="F64">
    <cfRule type="containsBlanks" dxfId="447" priority="377">
      <formula>LEN(TRIM(F64))=0</formula>
    </cfRule>
  </conditionalFormatting>
  <conditionalFormatting sqref="F60">
    <cfRule type="containsBlanks" dxfId="446" priority="378">
      <formula>LEN(TRIM(F60))=0</formula>
    </cfRule>
  </conditionalFormatting>
  <conditionalFormatting sqref="A17:A31 C17:C31">
    <cfRule type="containsBlanks" dxfId="445" priority="376">
      <formula>LEN(TRIM(A17))=0</formula>
    </cfRule>
  </conditionalFormatting>
  <conditionalFormatting sqref="U16 U18:U31">
    <cfRule type="containsBlanks" dxfId="444" priority="360">
      <formula>LEN(TRIM(U16))=0</formula>
    </cfRule>
  </conditionalFormatting>
  <conditionalFormatting sqref="AA60">
    <cfRule type="containsBlanks" dxfId="443" priority="339">
      <formula>LEN(TRIM(AA60))=0</formula>
    </cfRule>
  </conditionalFormatting>
  <conditionalFormatting sqref="F70:F73">
    <cfRule type="containsBlanks" dxfId="442" priority="356">
      <formula>LEN(TRIM(F70))=0</formula>
    </cfRule>
  </conditionalFormatting>
  <conditionalFormatting sqref="U70:U72 U74">
    <cfRule type="containsBlanks" dxfId="441" priority="353">
      <formula>LEN(TRIM(U70))=0</formula>
    </cfRule>
  </conditionalFormatting>
  <conditionalFormatting sqref="Q44">
    <cfRule type="containsBlanks" dxfId="440" priority="352">
      <formula>LEN(TRIM(Q44))=0</formula>
    </cfRule>
  </conditionalFormatting>
  <conditionalFormatting sqref="F62">
    <cfRule type="containsBlanks" dxfId="439" priority="348">
      <formula>LEN(TRIM(F62))=0</formula>
    </cfRule>
  </conditionalFormatting>
  <conditionalFormatting sqref="W44">
    <cfRule type="containsBlanks" dxfId="438" priority="346">
      <formula>LEN(TRIM(W44))=0</formula>
    </cfRule>
  </conditionalFormatting>
  <conditionalFormatting sqref="U58">
    <cfRule type="containsBlanks" dxfId="437" priority="345">
      <formula>LEN(TRIM(U58))=0</formula>
    </cfRule>
  </conditionalFormatting>
  <conditionalFormatting sqref="AA44">
    <cfRule type="containsBlanks" dxfId="436" priority="344">
      <formula>LEN(TRIM(AA44))=0</formula>
    </cfRule>
  </conditionalFormatting>
  <conditionalFormatting sqref="AB44">
    <cfRule type="containsBlanks" dxfId="435" priority="343">
      <formula>LEN(TRIM(AB44))=0</formula>
    </cfRule>
  </conditionalFormatting>
  <conditionalFormatting sqref="AD44">
    <cfRule type="containsBlanks" dxfId="434" priority="341">
      <formula>LEN(TRIM(AD44))=0</formula>
    </cfRule>
  </conditionalFormatting>
  <conditionalFormatting sqref="Q58 Q60:Q61">
    <cfRule type="containsBlanks" dxfId="433" priority="340">
      <formula>LEN(TRIM(Q58))=0</formula>
    </cfRule>
  </conditionalFormatting>
  <conditionalFormatting sqref="AB60">
    <cfRule type="containsBlanks" dxfId="432" priority="338">
      <formula>LEN(TRIM(AB60))=0</formula>
    </cfRule>
  </conditionalFormatting>
  <conditionalFormatting sqref="AD60">
    <cfRule type="containsBlanks" dxfId="431" priority="337">
      <formula>LEN(TRIM(AD60))=0</formula>
    </cfRule>
  </conditionalFormatting>
  <conditionalFormatting sqref="AE60">
    <cfRule type="containsBlanks" dxfId="430" priority="335">
      <formula>LEN(TRIM(AE60))=0</formula>
    </cfRule>
  </conditionalFormatting>
  <conditionalFormatting sqref="AA62">
    <cfRule type="containsBlanks" dxfId="429" priority="334">
      <formula>LEN(TRIM(AA62))=0</formula>
    </cfRule>
  </conditionalFormatting>
  <conditionalFormatting sqref="AD62">
    <cfRule type="containsBlanks" dxfId="428" priority="333">
      <formula>LEN(TRIM(AD62))=0</formula>
    </cfRule>
  </conditionalFormatting>
  <conditionalFormatting sqref="AB62">
    <cfRule type="containsBlanks" dxfId="427" priority="332">
      <formula>LEN(TRIM(AB62))=0</formula>
    </cfRule>
  </conditionalFormatting>
  <conditionalFormatting sqref="AE62">
    <cfRule type="containsBlanks" dxfId="426" priority="331">
      <formula>LEN(TRIM(AE62))=0</formula>
    </cfRule>
  </conditionalFormatting>
  <conditionalFormatting sqref="L64:L66">
    <cfRule type="containsBlanks" dxfId="425" priority="330">
      <formula>LEN(TRIM(L64))=0</formula>
    </cfRule>
  </conditionalFormatting>
  <conditionalFormatting sqref="L67:L68">
    <cfRule type="containsBlanks" dxfId="424" priority="329">
      <formula>LEN(TRIM(L67))=0</formula>
    </cfRule>
  </conditionalFormatting>
  <conditionalFormatting sqref="AA58">
    <cfRule type="containsBlanks" dxfId="423" priority="328">
      <formula>LEN(TRIM(AA58))=0</formula>
    </cfRule>
  </conditionalFormatting>
  <conditionalFormatting sqref="AD58">
    <cfRule type="containsBlanks" dxfId="422" priority="327">
      <formula>LEN(TRIM(AD58))=0</formula>
    </cfRule>
  </conditionalFormatting>
  <conditionalFormatting sqref="AB58">
    <cfRule type="containsBlanks" dxfId="421" priority="326">
      <formula>LEN(TRIM(AB58))=0</formula>
    </cfRule>
  </conditionalFormatting>
  <conditionalFormatting sqref="AE58">
    <cfRule type="containsBlanks" dxfId="420" priority="325">
      <formula>LEN(TRIM(AE58))=0</formula>
    </cfRule>
  </conditionalFormatting>
  <conditionalFormatting sqref="AD156:AL157 AA156:AB157 W156:Y157 T156:U157 B156:C157">
    <cfRule type="containsBlanks" dxfId="419" priority="318">
      <formula>LEN(TRIM(B156))=0</formula>
    </cfRule>
  </conditionalFormatting>
  <conditionalFormatting sqref="A156:A157">
    <cfRule type="containsBlanks" dxfId="418" priority="317">
      <formula>LEN(TRIM(A156))=0</formula>
    </cfRule>
  </conditionalFormatting>
  <conditionalFormatting sqref="S156:S157">
    <cfRule type="containsBlanks" dxfId="417" priority="316">
      <formula>LEN(TRIM(S156))=0</formula>
    </cfRule>
  </conditionalFormatting>
  <conditionalFormatting sqref="Z156:Z157">
    <cfRule type="containsBlanks" dxfId="416" priority="315">
      <formula>LEN(TRIM(Z156))=0</formula>
    </cfRule>
  </conditionalFormatting>
  <conditionalFormatting sqref="V156:V157">
    <cfRule type="containsBlanks" dxfId="415" priority="314">
      <formula>LEN(TRIM(V156))=0</formula>
    </cfRule>
  </conditionalFormatting>
  <conditionalFormatting sqref="AC156:AC157">
    <cfRule type="containsBlanks" dxfId="414" priority="313">
      <formula>LEN(TRIM(AC156))=0</formula>
    </cfRule>
  </conditionalFormatting>
  <conditionalFormatting sqref="F16">
    <cfRule type="containsBlanks" dxfId="413" priority="312">
      <formula>LEN(TRIM(F16))=0</formula>
    </cfRule>
  </conditionalFormatting>
  <conditionalFormatting sqref="Q48:Q50">
    <cfRule type="containsBlanks" dxfId="412" priority="310">
      <formula>LEN(TRIM(Q48))=0</formula>
    </cfRule>
  </conditionalFormatting>
  <conditionalFormatting sqref="L63">
    <cfRule type="containsBlanks" dxfId="411" priority="309">
      <formula>LEN(TRIM(L63))=0</formula>
    </cfRule>
  </conditionalFormatting>
  <conditionalFormatting sqref="U62">
    <cfRule type="containsBlanks" dxfId="410" priority="308">
      <formula>LEN(TRIM(U62))=0</formula>
    </cfRule>
  </conditionalFormatting>
  <conditionalFormatting sqref="AF15:AF16">
    <cfRule type="containsBlanks" dxfId="409" priority="307">
      <formula>LEN(TRIM(AF15))=0</formula>
    </cfRule>
  </conditionalFormatting>
  <conditionalFormatting sqref="AF12">
    <cfRule type="containsBlanks" dxfId="408" priority="306">
      <formula>LEN(TRIM(AF12))=0</formula>
    </cfRule>
  </conditionalFormatting>
  <conditionalFormatting sqref="AF13">
    <cfRule type="containsBlanks" dxfId="407" priority="305">
      <formula>LEN(TRIM(AF13))=0</formula>
    </cfRule>
  </conditionalFormatting>
  <conditionalFormatting sqref="AF10">
    <cfRule type="containsBlanks" dxfId="406" priority="304">
      <formula>LEN(TRIM(AF10))=0</formula>
    </cfRule>
  </conditionalFormatting>
  <conditionalFormatting sqref="AF4">
    <cfRule type="containsBlanks" dxfId="405" priority="303">
      <formula>LEN(TRIM(AF4))=0</formula>
    </cfRule>
  </conditionalFormatting>
  <conditionalFormatting sqref="AF36">
    <cfRule type="containsBlanks" dxfId="404" priority="302">
      <formula>LEN(TRIM(AF36))=0</formula>
    </cfRule>
  </conditionalFormatting>
  <conditionalFormatting sqref="AF34">
    <cfRule type="containsBlanks" dxfId="403" priority="301">
      <formula>LEN(TRIM(AF34))=0</formula>
    </cfRule>
  </conditionalFormatting>
  <conditionalFormatting sqref="AF33">
    <cfRule type="containsBlanks" dxfId="402" priority="300">
      <formula>LEN(TRIM(AF33))=0</formula>
    </cfRule>
  </conditionalFormatting>
  <conditionalFormatting sqref="AF50:AF55">
    <cfRule type="containsBlanks" dxfId="401" priority="299">
      <formula>LEN(TRIM(AF50))=0</formula>
    </cfRule>
  </conditionalFormatting>
  <conditionalFormatting sqref="AF35">
    <cfRule type="containsBlanks" dxfId="400" priority="298">
      <formula>LEN(TRIM(AF35))=0</formula>
    </cfRule>
  </conditionalFormatting>
  <conditionalFormatting sqref="AF42">
    <cfRule type="containsBlanks" dxfId="399" priority="297">
      <formula>LEN(TRIM(AF42))=0</formula>
    </cfRule>
  </conditionalFormatting>
  <conditionalFormatting sqref="AF43">
    <cfRule type="containsBlanks" dxfId="398" priority="296">
      <formula>LEN(TRIM(AF43))=0</formula>
    </cfRule>
  </conditionalFormatting>
  <conditionalFormatting sqref="AF44">
    <cfRule type="containsBlanks" dxfId="397" priority="295">
      <formula>LEN(TRIM(AF44))=0</formula>
    </cfRule>
  </conditionalFormatting>
  <conditionalFormatting sqref="AF48">
    <cfRule type="containsBlanks" dxfId="396" priority="294">
      <formula>LEN(TRIM(AF48))=0</formula>
    </cfRule>
  </conditionalFormatting>
  <conditionalFormatting sqref="AF49">
    <cfRule type="containsBlanks" dxfId="395" priority="293">
      <formula>LEN(TRIM(AF49))=0</formula>
    </cfRule>
  </conditionalFormatting>
  <conditionalFormatting sqref="AF58">
    <cfRule type="containsBlanks" dxfId="394" priority="292">
      <formula>LEN(TRIM(AF58))=0</formula>
    </cfRule>
  </conditionalFormatting>
  <conditionalFormatting sqref="AF62">
    <cfRule type="containsBlanks" dxfId="393" priority="291">
      <formula>LEN(TRIM(AF62))=0</formula>
    </cfRule>
  </conditionalFormatting>
  <conditionalFormatting sqref="AG60:AG61">
    <cfRule type="containsBlanks" dxfId="392" priority="290">
      <formula>LEN(TRIM(AG60))=0</formula>
    </cfRule>
  </conditionalFormatting>
  <conditionalFormatting sqref="AG15:AG16">
    <cfRule type="containsBlanks" dxfId="391" priority="289">
      <formula>LEN(TRIM(AG15))=0</formula>
    </cfRule>
  </conditionalFormatting>
  <conditionalFormatting sqref="AG12">
    <cfRule type="containsBlanks" dxfId="390" priority="288">
      <formula>LEN(TRIM(AG12))=0</formula>
    </cfRule>
  </conditionalFormatting>
  <conditionalFormatting sqref="AG13">
    <cfRule type="containsBlanks" dxfId="389" priority="287">
      <formula>LEN(TRIM(AG13))=0</formula>
    </cfRule>
  </conditionalFormatting>
  <conditionalFormatting sqref="AG10">
    <cfRule type="containsBlanks" dxfId="388" priority="286">
      <formula>LEN(TRIM(AG10))=0</formula>
    </cfRule>
  </conditionalFormatting>
  <conditionalFormatting sqref="AG4">
    <cfRule type="containsBlanks" dxfId="387" priority="285">
      <formula>LEN(TRIM(AG4))=0</formula>
    </cfRule>
  </conditionalFormatting>
  <conditionalFormatting sqref="AG36">
    <cfRule type="containsBlanks" dxfId="386" priority="284">
      <formula>LEN(TRIM(AG36))=0</formula>
    </cfRule>
  </conditionalFormatting>
  <conditionalFormatting sqref="AG34">
    <cfRule type="containsBlanks" dxfId="385" priority="283">
      <formula>LEN(TRIM(AG34))=0</formula>
    </cfRule>
  </conditionalFormatting>
  <conditionalFormatting sqref="AG33">
    <cfRule type="containsBlanks" dxfId="384" priority="282">
      <formula>LEN(TRIM(AG33))=0</formula>
    </cfRule>
  </conditionalFormatting>
  <conditionalFormatting sqref="AG50:AG55">
    <cfRule type="containsBlanks" dxfId="383" priority="281">
      <formula>LEN(TRIM(AG50))=0</formula>
    </cfRule>
  </conditionalFormatting>
  <conditionalFormatting sqref="AG35">
    <cfRule type="containsBlanks" dxfId="382" priority="280">
      <formula>LEN(TRIM(AG35))=0</formula>
    </cfRule>
  </conditionalFormatting>
  <conditionalFormatting sqref="AG42">
    <cfRule type="containsBlanks" dxfId="381" priority="279">
      <formula>LEN(TRIM(AG42))=0</formula>
    </cfRule>
  </conditionalFormatting>
  <conditionalFormatting sqref="AG43">
    <cfRule type="containsBlanks" dxfId="380" priority="278">
      <formula>LEN(TRIM(AG43))=0</formula>
    </cfRule>
  </conditionalFormatting>
  <conditionalFormatting sqref="AG44">
    <cfRule type="containsBlanks" dxfId="379" priority="277">
      <formula>LEN(TRIM(AG44))=0</formula>
    </cfRule>
  </conditionalFormatting>
  <conditionalFormatting sqref="AG48">
    <cfRule type="containsBlanks" dxfId="378" priority="276">
      <formula>LEN(TRIM(AG48))=0</formula>
    </cfRule>
  </conditionalFormatting>
  <conditionalFormatting sqref="AG49">
    <cfRule type="containsBlanks" dxfId="377" priority="275">
      <formula>LEN(TRIM(AG49))=0</formula>
    </cfRule>
  </conditionalFormatting>
  <conditionalFormatting sqref="AG58">
    <cfRule type="containsBlanks" dxfId="376" priority="274">
      <formula>LEN(TRIM(AG58))=0</formula>
    </cfRule>
  </conditionalFormatting>
  <conditionalFormatting sqref="AG62">
    <cfRule type="containsBlanks" dxfId="375" priority="273">
      <formula>LEN(TRIM(AG62))=0</formula>
    </cfRule>
  </conditionalFormatting>
  <conditionalFormatting sqref="AA70:AE75">
    <cfRule type="containsBlanks" dxfId="374" priority="272">
      <formula>LEN(TRIM(AA70))=0</formula>
    </cfRule>
  </conditionalFormatting>
  <conditionalFormatting sqref="AF70:AF75">
    <cfRule type="containsBlanks" dxfId="373" priority="271">
      <formula>LEN(TRIM(AF70))=0</formula>
    </cfRule>
  </conditionalFormatting>
  <conditionalFormatting sqref="AG70:AG75">
    <cfRule type="containsBlanks" dxfId="372" priority="270">
      <formula>LEN(TRIM(AG70))=0</formula>
    </cfRule>
  </conditionalFormatting>
  <conditionalFormatting sqref="A76 AH76:AL76">
    <cfRule type="containsBlanks" dxfId="371" priority="252">
      <formula>LEN(TRIM(A76))=0</formula>
    </cfRule>
  </conditionalFormatting>
  <conditionalFormatting sqref="M56 C56 H56:I56 A56 Q56 AH56:AL56">
    <cfRule type="containsBlanks" dxfId="370" priority="269">
      <formula>LEN(TRIM(A56))=0</formula>
    </cfRule>
  </conditionalFormatting>
  <conditionalFormatting sqref="E56">
    <cfRule type="containsBlanks" dxfId="369" priority="268">
      <formula>LEN(TRIM(E56))=0</formula>
    </cfRule>
  </conditionalFormatting>
  <conditionalFormatting sqref="T56">
    <cfRule type="containsBlanks" dxfId="368" priority="265">
      <formula>LEN(TRIM(T56))=0</formula>
    </cfRule>
  </conditionalFormatting>
  <conditionalFormatting sqref="S56">
    <cfRule type="containsBlanks" dxfId="367" priority="266">
      <formula>LEN(TRIM(S56))=0</formula>
    </cfRule>
  </conditionalFormatting>
  <conditionalFormatting sqref="U56">
    <cfRule type="containsBlanks" dxfId="366" priority="259">
      <formula>LEN(TRIM(U56))=0</formula>
    </cfRule>
  </conditionalFormatting>
  <conditionalFormatting sqref="S77:S83">
    <cfRule type="containsBlanks" dxfId="365" priority="247">
      <formula>LEN(TRIM(S77))=0</formula>
    </cfRule>
  </conditionalFormatting>
  <conditionalFormatting sqref="W56">
    <cfRule type="containsBlanks" dxfId="364" priority="264">
      <formula>LEN(TRIM(W56))=0</formula>
    </cfRule>
  </conditionalFormatting>
  <conditionalFormatting sqref="X56">
    <cfRule type="containsBlanks" dxfId="363" priority="263">
      <formula>LEN(TRIM(X56))=0</formula>
    </cfRule>
  </conditionalFormatting>
  <conditionalFormatting sqref="Z56">
    <cfRule type="containsBlanks" dxfId="362" priority="262">
      <formula>LEN(TRIM(Z56))=0</formula>
    </cfRule>
  </conditionalFormatting>
  <conditionalFormatting sqref="V56">
    <cfRule type="containsBlanks" dxfId="361" priority="261">
      <formula>LEN(TRIM(V56))=0</formula>
    </cfRule>
  </conditionalFormatting>
  <conditionalFormatting sqref="AA56:AB56">
    <cfRule type="containsBlanks" dxfId="360" priority="260">
      <formula>LEN(TRIM(AA56))=0</formula>
    </cfRule>
  </conditionalFormatting>
  <conditionalFormatting sqref="AC56">
    <cfRule type="containsBlanks" dxfId="359" priority="258">
      <formula>LEN(TRIM(AC56))=0</formula>
    </cfRule>
  </conditionalFormatting>
  <conditionalFormatting sqref="AD56:AE56">
    <cfRule type="containsBlanks" dxfId="358" priority="257">
      <formula>LEN(TRIM(AD56))=0</formula>
    </cfRule>
  </conditionalFormatting>
  <conditionalFormatting sqref="AF56">
    <cfRule type="containsBlanks" dxfId="357" priority="255">
      <formula>LEN(TRIM(AF56))=0</formula>
    </cfRule>
  </conditionalFormatting>
  <conditionalFormatting sqref="AG56">
    <cfRule type="containsBlanks" dxfId="356" priority="254">
      <formula>LEN(TRIM(AG56))=0</formula>
    </cfRule>
  </conditionalFormatting>
  <conditionalFormatting sqref="B56">
    <cfRule type="containsBlanks" dxfId="355" priority="253">
      <formula>LEN(TRIM(B56))=0</formula>
    </cfRule>
  </conditionalFormatting>
  <conditionalFormatting sqref="AG77:AG83">
    <cfRule type="containsBlanks" dxfId="354" priority="234">
      <formula>LEN(TRIM(AG77))=0</formula>
    </cfRule>
  </conditionalFormatting>
  <conditionalFormatting sqref="F79 F81 F83">
    <cfRule type="containsBlanks" dxfId="353" priority="233">
      <formula>LEN(TRIM(F79))=0</formula>
    </cfRule>
  </conditionalFormatting>
  <conditionalFormatting sqref="V77:V83">
    <cfRule type="containsBlanks" dxfId="352" priority="251">
      <formula>LEN(TRIM(V77))=0</formula>
    </cfRule>
  </conditionalFormatting>
  <conditionalFormatting sqref="A77:A83 T77:T83 AH77:AL83">
    <cfRule type="containsBlanks" dxfId="351" priority="250">
      <formula>LEN(TRIM(A77))=0</formula>
    </cfRule>
  </conditionalFormatting>
  <conditionalFormatting sqref="M77:M83 I77:I83 B79:C79 B81:C81 C80 B83:C83 C82">
    <cfRule type="containsBlanks" dxfId="350" priority="249">
      <formula>LEN(TRIM(B77))=0</formula>
    </cfRule>
  </conditionalFormatting>
  <conditionalFormatting sqref="E79 E81 E83">
    <cfRule type="containsBlanks" dxfId="349" priority="248">
      <formula>LEN(TRIM(E79))=0</formula>
    </cfRule>
  </conditionalFormatting>
  <conditionalFormatting sqref="Z77:Z83">
    <cfRule type="containsBlanks" dxfId="348" priority="246">
      <formula>LEN(TRIM(Z77))=0</formula>
    </cfRule>
  </conditionalFormatting>
  <conditionalFormatting sqref="AC77:AC83">
    <cfRule type="containsBlanks" dxfId="347" priority="243">
      <formula>LEN(TRIM(AC77))=0</formula>
    </cfRule>
  </conditionalFormatting>
  <conditionalFormatting sqref="U77 U81:U83">
    <cfRule type="containsBlanks" dxfId="346" priority="241">
      <formula>LEN(TRIM(U77))=0</formula>
    </cfRule>
  </conditionalFormatting>
  <conditionalFormatting sqref="Q77:Q83">
    <cfRule type="containsBlanks" dxfId="345" priority="240">
      <formula>LEN(TRIM(Q77))=0</formula>
    </cfRule>
  </conditionalFormatting>
  <conditionalFormatting sqref="AA77:AA83">
    <cfRule type="containsBlanks" dxfId="344" priority="239">
      <formula>LEN(TRIM(AA77))=0</formula>
    </cfRule>
  </conditionalFormatting>
  <conditionalFormatting sqref="AD77:AD83">
    <cfRule type="containsBlanks" dxfId="343" priority="238">
      <formula>LEN(TRIM(AD77))=0</formula>
    </cfRule>
  </conditionalFormatting>
  <conditionalFormatting sqref="AB77:AB83">
    <cfRule type="containsBlanks" dxfId="342" priority="237">
      <formula>LEN(TRIM(AB77))=0</formula>
    </cfRule>
  </conditionalFormatting>
  <conditionalFormatting sqref="AE77:AE83">
    <cfRule type="containsBlanks" dxfId="341" priority="236">
      <formula>LEN(TRIM(AE77))=0</formula>
    </cfRule>
  </conditionalFormatting>
  <conditionalFormatting sqref="AF77:AF83">
    <cfRule type="containsBlanks" dxfId="340" priority="235">
      <formula>LEN(TRIM(AF77))=0</formula>
    </cfRule>
  </conditionalFormatting>
  <conditionalFormatting sqref="B77:C77 C78">
    <cfRule type="containsBlanks" dxfId="339" priority="232">
      <formula>LEN(TRIM(B77))=0</formula>
    </cfRule>
  </conditionalFormatting>
  <conditionalFormatting sqref="F77">
    <cfRule type="containsBlanks" dxfId="338" priority="231">
      <formula>LEN(TRIM(F77))=0</formula>
    </cfRule>
  </conditionalFormatting>
  <conditionalFormatting sqref="X77 X79:X83">
    <cfRule type="containsBlanks" dxfId="337" priority="230">
      <formula>LEN(TRIM(X77))=0</formula>
    </cfRule>
  </conditionalFormatting>
  <conditionalFormatting sqref="Y77 Y79:Y83">
    <cfRule type="containsBlanks" dxfId="336" priority="229">
      <formula>LEN(TRIM(Y77))=0</formula>
    </cfRule>
  </conditionalFormatting>
  <conditionalFormatting sqref="Y56">
    <cfRule type="containsBlanks" dxfId="335" priority="228">
      <formula>LEN(TRIM(Y56))=0</formula>
    </cfRule>
  </conditionalFormatting>
  <conditionalFormatting sqref="F50">
    <cfRule type="containsBlanks" dxfId="334" priority="227">
      <formula>LEN(TRIM(F50))=0</formula>
    </cfRule>
  </conditionalFormatting>
  <conditionalFormatting sqref="M45:M46 I45:I46 AH45:AL46 S45:T46 V45:V46 A45:C46">
    <cfRule type="containsBlanks" dxfId="333" priority="225">
      <formula>LEN(TRIM(A45))=0</formula>
    </cfRule>
  </conditionalFormatting>
  <conditionalFormatting sqref="Q45:Q46">
    <cfRule type="containsBlanks" dxfId="332" priority="224">
      <formula>LEN(TRIM(Q45))=0</formula>
    </cfRule>
  </conditionalFormatting>
  <conditionalFormatting sqref="W84:W87">
    <cfRule type="containsBlanks" dxfId="331" priority="217">
      <formula>LEN(TRIM(W84))=0</formula>
    </cfRule>
  </conditionalFormatting>
  <conditionalFormatting sqref="S84:S87">
    <cfRule type="containsBlanks" dxfId="330" priority="212">
      <formula>LEN(TRIM(S84))=0</formula>
    </cfRule>
  </conditionalFormatting>
  <conditionalFormatting sqref="AG84:AG87">
    <cfRule type="containsBlanks" dxfId="329" priority="202">
      <formula>LEN(TRIM(AG84))=0</formula>
    </cfRule>
  </conditionalFormatting>
  <conditionalFormatting sqref="V84:V87">
    <cfRule type="containsBlanks" dxfId="328" priority="216">
      <formula>LEN(TRIM(V84))=0</formula>
    </cfRule>
  </conditionalFormatting>
  <conditionalFormatting sqref="A84:A87 T84:T87 AH84:AL87">
    <cfRule type="containsBlanks" dxfId="327" priority="215">
      <formula>LEN(TRIM(A84))=0</formula>
    </cfRule>
  </conditionalFormatting>
  <conditionalFormatting sqref="M84:M87 I84:I87 B84:C87">
    <cfRule type="containsBlanks" dxfId="326" priority="214">
      <formula>LEN(TRIM(B84))=0</formula>
    </cfRule>
  </conditionalFormatting>
  <conditionalFormatting sqref="E84">
    <cfRule type="containsBlanks" dxfId="325" priority="213">
      <formula>LEN(TRIM(E84))=0</formula>
    </cfRule>
  </conditionalFormatting>
  <conditionalFormatting sqref="Z84:Z87">
    <cfRule type="containsBlanks" dxfId="324" priority="211">
      <formula>LEN(TRIM(Z84))=0</formula>
    </cfRule>
  </conditionalFormatting>
  <conditionalFormatting sqref="AC84:AC87">
    <cfRule type="containsBlanks" dxfId="323" priority="210">
      <formula>LEN(TRIM(AC84))=0</formula>
    </cfRule>
  </conditionalFormatting>
  <conditionalFormatting sqref="U84:U87">
    <cfRule type="containsBlanks" dxfId="322" priority="209">
      <formula>LEN(TRIM(U84))=0</formula>
    </cfRule>
  </conditionalFormatting>
  <conditionalFormatting sqref="Q84:Q87">
    <cfRule type="containsBlanks" dxfId="321" priority="208">
      <formula>LEN(TRIM(Q84))=0</formula>
    </cfRule>
  </conditionalFormatting>
  <conditionalFormatting sqref="AA84:AA87">
    <cfRule type="containsBlanks" dxfId="320" priority="207">
      <formula>LEN(TRIM(AA84))=0</formula>
    </cfRule>
  </conditionalFormatting>
  <conditionalFormatting sqref="AD84:AD87">
    <cfRule type="containsBlanks" dxfId="319" priority="206">
      <formula>LEN(TRIM(AD84))=0</formula>
    </cfRule>
  </conditionalFormatting>
  <conditionalFormatting sqref="AB84:AB87">
    <cfRule type="containsBlanks" dxfId="318" priority="205">
      <formula>LEN(TRIM(AB84))=0</formula>
    </cfRule>
  </conditionalFormatting>
  <conditionalFormatting sqref="AE84:AE87">
    <cfRule type="containsBlanks" dxfId="317" priority="204">
      <formula>LEN(TRIM(AE84))=0</formula>
    </cfRule>
  </conditionalFormatting>
  <conditionalFormatting sqref="AF84:AF87">
    <cfRule type="containsBlanks" dxfId="316" priority="203">
      <formula>LEN(TRIM(AF84))=0</formula>
    </cfRule>
  </conditionalFormatting>
  <conditionalFormatting sqref="X84:X87">
    <cfRule type="containsBlanks" dxfId="315" priority="200">
      <formula>LEN(TRIM(X84))=0</formula>
    </cfRule>
  </conditionalFormatting>
  <conditionalFormatting sqref="Y84:Y87">
    <cfRule type="containsBlanks" dxfId="314" priority="199">
      <formula>LEN(TRIM(Y84))=0</formula>
    </cfRule>
  </conditionalFormatting>
  <conditionalFormatting sqref="AC45:AC46 Z45:Z46">
    <cfRule type="containsBlanks" dxfId="313" priority="198">
      <formula>LEN(TRIM(Z45))=0</formula>
    </cfRule>
  </conditionalFormatting>
  <conditionalFormatting sqref="F41">
    <cfRule type="containsBlanks" dxfId="312" priority="197">
      <formula>LEN(TRIM(F41))=0</formula>
    </cfRule>
  </conditionalFormatting>
  <conditionalFormatting sqref="F45">
    <cfRule type="containsBlanks" dxfId="311" priority="196">
      <formula>LEN(TRIM(F45))=0</formula>
    </cfRule>
  </conditionalFormatting>
  <conditionalFormatting sqref="F56">
    <cfRule type="containsBlanks" dxfId="310" priority="193">
      <formula>LEN(TRIM(F56))=0</formula>
    </cfRule>
  </conditionalFormatting>
  <conditionalFormatting sqref="F84">
    <cfRule type="containsBlanks" dxfId="309" priority="192">
      <formula>LEN(TRIM(F84))=0</formula>
    </cfRule>
  </conditionalFormatting>
  <conditionalFormatting sqref="A88 AH88:AL88">
    <cfRule type="containsBlanks" dxfId="308" priority="190">
      <formula>LEN(TRIM(A88))=0</formula>
    </cfRule>
  </conditionalFormatting>
  <conditionalFormatting sqref="S91">
    <cfRule type="containsBlanks" dxfId="307" priority="186">
      <formula>LEN(TRIM(S91))=0</formula>
    </cfRule>
  </conditionalFormatting>
  <conditionalFormatting sqref="AG91">
    <cfRule type="containsBlanks" dxfId="306" priority="176">
      <formula>LEN(TRIM(AG91))=0</formula>
    </cfRule>
  </conditionalFormatting>
  <conditionalFormatting sqref="V91">
    <cfRule type="containsBlanks" dxfId="305" priority="189">
      <formula>LEN(TRIM(V91))=0</formula>
    </cfRule>
  </conditionalFormatting>
  <conditionalFormatting sqref="A91 T91 AH91:AL91">
    <cfRule type="containsBlanks" dxfId="304" priority="188">
      <formula>LEN(TRIM(A91))=0</formula>
    </cfRule>
  </conditionalFormatting>
  <conditionalFormatting sqref="M91 I91">
    <cfRule type="containsBlanks" dxfId="303" priority="187">
      <formula>LEN(TRIM(I91))=0</formula>
    </cfRule>
  </conditionalFormatting>
  <conditionalFormatting sqref="Z91">
    <cfRule type="containsBlanks" dxfId="302" priority="185">
      <formula>LEN(TRIM(Z91))=0</formula>
    </cfRule>
  </conditionalFormatting>
  <conditionalFormatting sqref="AC91">
    <cfRule type="containsBlanks" dxfId="301" priority="184">
      <formula>LEN(TRIM(AC91))=0</formula>
    </cfRule>
  </conditionalFormatting>
  <conditionalFormatting sqref="U91">
    <cfRule type="containsBlanks" dxfId="300" priority="183">
      <formula>LEN(TRIM(U91))=0</formula>
    </cfRule>
  </conditionalFormatting>
  <conditionalFormatting sqref="Q91">
    <cfRule type="containsBlanks" dxfId="299" priority="182">
      <formula>LEN(TRIM(Q91))=0</formula>
    </cfRule>
  </conditionalFormatting>
  <conditionalFormatting sqref="AA91">
    <cfRule type="containsBlanks" dxfId="298" priority="181">
      <formula>LEN(TRIM(AA91))=0</formula>
    </cfRule>
  </conditionalFormatting>
  <conditionalFormatting sqref="AD91">
    <cfRule type="containsBlanks" dxfId="297" priority="180">
      <formula>LEN(TRIM(AD91))=0</formula>
    </cfRule>
  </conditionalFormatting>
  <conditionalFormatting sqref="AB91">
    <cfRule type="containsBlanks" dxfId="296" priority="179">
      <formula>LEN(TRIM(AB91))=0</formula>
    </cfRule>
  </conditionalFormatting>
  <conditionalFormatting sqref="AE91">
    <cfRule type="containsBlanks" dxfId="295" priority="178">
      <formula>LEN(TRIM(AE91))=0</formula>
    </cfRule>
  </conditionalFormatting>
  <conditionalFormatting sqref="AF91">
    <cfRule type="containsBlanks" dxfId="294" priority="177">
      <formula>LEN(TRIM(AF91))=0</formula>
    </cfRule>
  </conditionalFormatting>
  <conditionalFormatting sqref="B91:C91">
    <cfRule type="containsBlanks" dxfId="293" priority="175">
      <formula>LEN(TRIM(B91))=0</formula>
    </cfRule>
  </conditionalFormatting>
  <conditionalFormatting sqref="F91">
    <cfRule type="containsBlanks" dxfId="292" priority="174">
      <formula>LEN(TRIM(F91))=0</formula>
    </cfRule>
  </conditionalFormatting>
  <conditionalFormatting sqref="Y91">
    <cfRule type="containsBlanks" dxfId="291" priority="172">
      <formula>LEN(TRIM(Y91))=0</formula>
    </cfRule>
  </conditionalFormatting>
  <conditionalFormatting sqref="E91">
    <cfRule type="containsBlanks" dxfId="290" priority="171">
      <formula>LEN(TRIM(E91))=0</formula>
    </cfRule>
  </conditionalFormatting>
  <conditionalFormatting sqref="W91">
    <cfRule type="containsBlanks" dxfId="289" priority="170">
      <formula>LEN(TRIM(W91))=0</formula>
    </cfRule>
  </conditionalFormatting>
  <conditionalFormatting sqref="X91">
    <cfRule type="containsBlanks" dxfId="288" priority="169">
      <formula>LEN(TRIM(X91))=0</formula>
    </cfRule>
  </conditionalFormatting>
  <conditionalFormatting sqref="R91">
    <cfRule type="containsBlanks" dxfId="287" priority="168">
      <formula>LEN(TRIM(R91))=0</formula>
    </cfRule>
  </conditionalFormatting>
  <conditionalFormatting sqref="D156:D157">
    <cfRule type="containsBlanks" dxfId="286" priority="163">
      <formula>LEN(TRIM(D156))=0</formula>
    </cfRule>
  </conditionalFormatting>
  <conditionalFormatting sqref="D1">
    <cfRule type="containsBlanks" dxfId="285" priority="166">
      <formula>LEN(TRIM(D1))=0</formula>
    </cfRule>
  </conditionalFormatting>
  <conditionalFormatting sqref="D3">
    <cfRule type="containsBlanks" dxfId="284" priority="165">
      <formula>LEN(TRIM(D3))=0</formula>
    </cfRule>
  </conditionalFormatting>
  <conditionalFormatting sqref="R93:R94">
    <cfRule type="containsBlanks" dxfId="283" priority="137">
      <formula>LEN(TRIM(R93))=0</formula>
    </cfRule>
  </conditionalFormatting>
  <conditionalFormatting sqref="A92 AH92:AL92">
    <cfRule type="containsBlanks" dxfId="282" priority="158">
      <formula>LEN(TRIM(A92))=0</formula>
    </cfRule>
  </conditionalFormatting>
  <conditionalFormatting sqref="S93:S94">
    <cfRule type="containsBlanks" dxfId="281" priority="154">
      <formula>LEN(TRIM(S93))=0</formula>
    </cfRule>
  </conditionalFormatting>
  <conditionalFormatting sqref="AG93:AG94">
    <cfRule type="containsBlanks" dxfId="280" priority="144">
      <formula>LEN(TRIM(AG93))=0</formula>
    </cfRule>
  </conditionalFormatting>
  <conditionalFormatting sqref="V93:V94">
    <cfRule type="containsBlanks" dxfId="279" priority="157">
      <formula>LEN(TRIM(V93))=0</formula>
    </cfRule>
  </conditionalFormatting>
  <conditionalFormatting sqref="A93:A94 T93:T94 AH93:AL94">
    <cfRule type="containsBlanks" dxfId="278" priority="156">
      <formula>LEN(TRIM(A93))=0</formula>
    </cfRule>
  </conditionalFormatting>
  <conditionalFormatting sqref="I93:I94">
    <cfRule type="containsBlanks" dxfId="277" priority="155">
      <formula>LEN(TRIM(I93))=0</formula>
    </cfRule>
  </conditionalFormatting>
  <conditionalFormatting sqref="Z93:Z94">
    <cfRule type="containsBlanks" dxfId="276" priority="153">
      <formula>LEN(TRIM(Z93))=0</formula>
    </cfRule>
  </conditionalFormatting>
  <conditionalFormatting sqref="AC93:AC94">
    <cfRule type="containsBlanks" dxfId="275" priority="152">
      <formula>LEN(TRIM(AC93))=0</formula>
    </cfRule>
  </conditionalFormatting>
  <conditionalFormatting sqref="AA93:AA94">
    <cfRule type="containsBlanks" dxfId="274" priority="149">
      <formula>LEN(TRIM(AA93))=0</formula>
    </cfRule>
  </conditionalFormatting>
  <conditionalFormatting sqref="AD93:AD94">
    <cfRule type="containsBlanks" dxfId="273" priority="148">
      <formula>LEN(TRIM(AD93))=0</formula>
    </cfRule>
  </conditionalFormatting>
  <conditionalFormatting sqref="AB93:AB94">
    <cfRule type="containsBlanks" dxfId="272" priority="147">
      <formula>LEN(TRIM(AB93))=0</formula>
    </cfRule>
  </conditionalFormatting>
  <conditionalFormatting sqref="AE93:AE94">
    <cfRule type="containsBlanks" dxfId="271" priority="146">
      <formula>LEN(TRIM(AE93))=0</formula>
    </cfRule>
  </conditionalFormatting>
  <conditionalFormatting sqref="AF93:AF94">
    <cfRule type="containsBlanks" dxfId="270" priority="145">
      <formula>LEN(TRIM(AF93))=0</formula>
    </cfRule>
  </conditionalFormatting>
  <conditionalFormatting sqref="Y93:Y94">
    <cfRule type="containsBlanks" dxfId="269" priority="141">
      <formula>LEN(TRIM(Y93))=0</formula>
    </cfRule>
  </conditionalFormatting>
  <conditionalFormatting sqref="W93:W94">
    <cfRule type="containsBlanks" dxfId="268" priority="139">
      <formula>LEN(TRIM(W93))=0</formula>
    </cfRule>
  </conditionalFormatting>
  <conditionalFormatting sqref="X93:X94">
    <cfRule type="containsBlanks" dxfId="267" priority="138">
      <formula>LEN(TRIM(X93))=0</formula>
    </cfRule>
  </conditionalFormatting>
  <conditionalFormatting sqref="M93:M94 Q93">
    <cfRule type="containsBlanks" dxfId="266" priority="136">
      <formula>LEN(TRIM(M93))=0</formula>
    </cfRule>
  </conditionalFormatting>
  <conditionalFormatting sqref="B95">
    <cfRule type="containsBlanks" dxfId="265" priority="135">
      <formula>LEN(TRIM(B95))=0</formula>
    </cfRule>
  </conditionalFormatting>
  <conditionalFormatting sqref="F95">
    <cfRule type="containsBlanks" dxfId="264" priority="134">
      <formula>LEN(TRIM(F95))=0</formula>
    </cfRule>
  </conditionalFormatting>
  <conditionalFormatting sqref="E95">
    <cfRule type="containsBlanks" dxfId="263" priority="132">
      <formula>LEN(TRIM(E95))=0</formula>
    </cfRule>
  </conditionalFormatting>
  <conditionalFormatting sqref="U15">
    <cfRule type="containsBlanks" dxfId="262" priority="131">
      <formula>LEN(TRIM(U15))=0</formula>
    </cfRule>
  </conditionalFormatting>
  <conditionalFormatting sqref="S97">
    <cfRule type="containsBlanks" dxfId="261" priority="127">
      <formula>LEN(TRIM(S97))=0</formula>
    </cfRule>
  </conditionalFormatting>
  <conditionalFormatting sqref="AG97">
    <cfRule type="containsBlanks" dxfId="260" priority="118">
      <formula>LEN(TRIM(AG97))=0</formula>
    </cfRule>
  </conditionalFormatting>
  <conditionalFormatting sqref="V97">
    <cfRule type="containsBlanks" dxfId="259" priority="130">
      <formula>LEN(TRIM(V97))=0</formula>
    </cfRule>
  </conditionalFormatting>
  <conditionalFormatting sqref="A97 T97 AH97:AL97">
    <cfRule type="containsBlanks" dxfId="258" priority="129">
      <formula>LEN(TRIM(A97))=0</formula>
    </cfRule>
  </conditionalFormatting>
  <conditionalFormatting sqref="I97">
    <cfRule type="containsBlanks" dxfId="257" priority="128">
      <formula>LEN(TRIM(I97))=0</formula>
    </cfRule>
  </conditionalFormatting>
  <conditionalFormatting sqref="Z97">
    <cfRule type="containsBlanks" dxfId="256" priority="126">
      <formula>LEN(TRIM(Z97))=0</formula>
    </cfRule>
  </conditionalFormatting>
  <conditionalFormatting sqref="AC97">
    <cfRule type="containsBlanks" dxfId="255" priority="125">
      <formula>LEN(TRIM(AC97))=0</formula>
    </cfRule>
  </conditionalFormatting>
  <conditionalFormatting sqref="AA97">
    <cfRule type="containsBlanks" dxfId="254" priority="123">
      <formula>LEN(TRIM(AA97))=0</formula>
    </cfRule>
  </conditionalFormatting>
  <conditionalFormatting sqref="AD97">
    <cfRule type="containsBlanks" dxfId="253" priority="122">
      <formula>LEN(TRIM(AD97))=0</formula>
    </cfRule>
  </conditionalFormatting>
  <conditionalFormatting sqref="AB97">
    <cfRule type="containsBlanks" dxfId="252" priority="121">
      <formula>LEN(TRIM(AB97))=0</formula>
    </cfRule>
  </conditionalFormatting>
  <conditionalFormatting sqref="AE97">
    <cfRule type="containsBlanks" dxfId="251" priority="120">
      <formula>LEN(TRIM(AE97))=0</formula>
    </cfRule>
  </conditionalFormatting>
  <conditionalFormatting sqref="AF97">
    <cfRule type="containsBlanks" dxfId="250" priority="119">
      <formula>LEN(TRIM(AF97))=0</formula>
    </cfRule>
  </conditionalFormatting>
  <conditionalFormatting sqref="C97">
    <cfRule type="containsBlanks" dxfId="249" priority="117">
      <formula>LEN(TRIM(C97))=0</formula>
    </cfRule>
  </conditionalFormatting>
  <conditionalFormatting sqref="Y97">
    <cfRule type="containsBlanks" dxfId="248" priority="115">
      <formula>LEN(TRIM(Y97))=0</formula>
    </cfRule>
  </conditionalFormatting>
  <conditionalFormatting sqref="E97">
    <cfRule type="containsBlanks" dxfId="247" priority="114">
      <formula>LEN(TRIM(E97))=0</formula>
    </cfRule>
  </conditionalFormatting>
  <conditionalFormatting sqref="W97">
    <cfRule type="containsBlanks" dxfId="246" priority="113">
      <formula>LEN(TRIM(W97))=0</formula>
    </cfRule>
  </conditionalFormatting>
  <conditionalFormatting sqref="X97">
    <cfRule type="containsBlanks" dxfId="245" priority="112">
      <formula>LEN(TRIM(X97))=0</formula>
    </cfRule>
  </conditionalFormatting>
  <conditionalFormatting sqref="R97">
    <cfRule type="containsBlanks" dxfId="244" priority="111">
      <formula>LEN(TRIM(R97))=0</formula>
    </cfRule>
  </conditionalFormatting>
  <conditionalFormatting sqref="M97 Q97">
    <cfRule type="containsBlanks" dxfId="243" priority="110">
      <formula>LEN(TRIM(M97))=0</formula>
    </cfRule>
  </conditionalFormatting>
  <conditionalFormatting sqref="B97">
    <cfRule type="containsBlanks" dxfId="242" priority="109">
      <formula>LEN(TRIM(B97))=0</formula>
    </cfRule>
  </conditionalFormatting>
  <conditionalFormatting sqref="F97">
    <cfRule type="containsBlanks" dxfId="241" priority="108">
      <formula>LEN(TRIM(F97))=0</formula>
    </cfRule>
  </conditionalFormatting>
  <conditionalFormatting sqref="L19:L21">
    <cfRule type="containsBlanks" dxfId="240" priority="106">
      <formula>LEN(TRIM(L19))=0</formula>
    </cfRule>
  </conditionalFormatting>
  <conditionalFormatting sqref="U95:U96">
    <cfRule type="containsBlanks" dxfId="239" priority="103">
      <formula>LEN(TRIM(U95))=0</formula>
    </cfRule>
  </conditionalFormatting>
  <conditionalFormatting sqref="U97">
    <cfRule type="containsBlanks" dxfId="238" priority="102">
      <formula>LEN(TRIM(U97))=0</formula>
    </cfRule>
  </conditionalFormatting>
  <conditionalFormatting sqref="U93:U94">
    <cfRule type="containsBlanks" dxfId="237" priority="101">
      <formula>LEN(TRIM(U93))=0</formula>
    </cfRule>
  </conditionalFormatting>
  <conditionalFormatting sqref="C99">
    <cfRule type="containsBlanks" dxfId="236" priority="99">
      <formula>LEN(TRIM(C99))=0</formula>
    </cfRule>
  </conditionalFormatting>
  <conditionalFormatting sqref="E99">
    <cfRule type="containsBlanks" dxfId="235" priority="98">
      <formula>LEN(TRIM(E99))=0</formula>
    </cfRule>
  </conditionalFormatting>
  <conditionalFormatting sqref="B99">
    <cfRule type="containsBlanks" dxfId="234" priority="97">
      <formula>LEN(TRIM(B99))=0</formula>
    </cfRule>
  </conditionalFormatting>
  <conditionalFormatting sqref="F99">
    <cfRule type="containsBlanks" dxfId="233" priority="96">
      <formula>LEN(TRIM(F99))=0</formula>
    </cfRule>
  </conditionalFormatting>
  <conditionalFormatting sqref="O19:P21">
    <cfRule type="containsBlanks" dxfId="232" priority="95">
      <formula>LEN(TRIM(O19))=0</formula>
    </cfRule>
  </conditionalFormatting>
  <conditionalFormatting sqref="F59">
    <cfRule type="containsBlanks" dxfId="231" priority="94">
      <formula>LEN(TRIM(F59))=0</formula>
    </cfRule>
  </conditionalFormatting>
  <conditionalFormatting sqref="F93">
    <cfRule type="containsBlanks" dxfId="230" priority="93">
      <formula>LEN(TRIM(F93))=0</formula>
    </cfRule>
  </conditionalFormatting>
  <conditionalFormatting sqref="C93:C94">
    <cfRule type="containsBlanks" dxfId="229" priority="92">
      <formula>LEN(TRIM(C93))=0</formula>
    </cfRule>
  </conditionalFormatting>
  <conditionalFormatting sqref="B93">
    <cfRule type="containsBlanks" dxfId="228" priority="91">
      <formula>LEN(TRIM(B93))=0</formula>
    </cfRule>
  </conditionalFormatting>
  <conditionalFormatting sqref="E93">
    <cfRule type="containsBlanks" dxfId="227" priority="90">
      <formula>LEN(TRIM(E93))=0</formula>
    </cfRule>
  </conditionalFormatting>
  <conditionalFormatting sqref="B100">
    <cfRule type="containsBlanks" dxfId="226" priority="89">
      <formula>LEN(TRIM(B100))=0</formula>
    </cfRule>
  </conditionalFormatting>
  <conditionalFormatting sqref="B102">
    <cfRule type="containsBlanks" dxfId="225" priority="88">
      <formula>LEN(TRIM(B102))=0</formula>
    </cfRule>
  </conditionalFormatting>
  <conditionalFormatting sqref="E100">
    <cfRule type="containsBlanks" dxfId="224" priority="87">
      <formula>LEN(TRIM(E100))=0</formula>
    </cfRule>
  </conditionalFormatting>
  <conditionalFormatting sqref="E102">
    <cfRule type="containsBlanks" dxfId="223" priority="86">
      <formula>LEN(TRIM(E102))=0</formula>
    </cfRule>
  </conditionalFormatting>
  <conditionalFormatting sqref="F100">
    <cfRule type="containsBlanks" dxfId="222" priority="85">
      <formula>LEN(TRIM(F100))=0</formula>
    </cfRule>
  </conditionalFormatting>
  <conditionalFormatting sqref="F102">
    <cfRule type="containsBlanks" dxfId="221" priority="84">
      <formula>LEN(TRIM(F102))=0</formula>
    </cfRule>
  </conditionalFormatting>
  <conditionalFormatting sqref="U53">
    <cfRule type="containsBlanks" dxfId="220" priority="82">
      <formula>LEN(TRIM(U53))=0</formula>
    </cfRule>
  </conditionalFormatting>
  <conditionalFormatting sqref="F74:F75">
    <cfRule type="containsBlanks" dxfId="219" priority="81">
      <formula>LEN(TRIM(F74))=0</formula>
    </cfRule>
  </conditionalFormatting>
  <conditionalFormatting sqref="B75:C75">
    <cfRule type="containsBlanks" dxfId="218" priority="79">
      <formula>LEN(TRIM(B75))=0</formula>
    </cfRule>
  </conditionalFormatting>
  <conditionalFormatting sqref="U79">
    <cfRule type="containsBlanks" dxfId="217" priority="78">
      <formula>LEN(TRIM(U79))=0</formula>
    </cfRule>
  </conditionalFormatting>
  <conditionalFormatting sqref="Q22:Q31">
    <cfRule type="containsBlanks" dxfId="216" priority="77">
      <formula>LEN(TRIM(Q22))=0</formula>
    </cfRule>
  </conditionalFormatting>
  <conditionalFormatting sqref="E85:E87">
    <cfRule type="containsBlanks" dxfId="215" priority="76">
      <formula>LEN(TRIM(E85))=0</formula>
    </cfRule>
  </conditionalFormatting>
  <conditionalFormatting sqref="F85:F87">
    <cfRule type="containsBlanks" dxfId="214" priority="75">
      <formula>LEN(TRIM(F85))=0</formula>
    </cfRule>
  </conditionalFormatting>
  <conditionalFormatting sqref="A106 AH106:AL106">
    <cfRule type="containsBlanks" dxfId="213" priority="74">
      <formula>LEN(TRIM(A106))=0</formula>
    </cfRule>
  </conditionalFormatting>
  <conditionalFormatting sqref="E107">
    <cfRule type="containsBlanks" dxfId="212" priority="73">
      <formula>LEN(TRIM(E107))=0</formula>
    </cfRule>
  </conditionalFormatting>
  <conditionalFormatting sqref="C103 H103:I103 M103 P103:AL103">
    <cfRule type="containsBlanks" dxfId="211" priority="72">
      <formula>LEN(TRIM(C103))=0</formula>
    </cfRule>
  </conditionalFormatting>
  <conditionalFormatting sqref="A103">
    <cfRule type="containsBlanks" dxfId="210" priority="71">
      <formula>LEN(TRIM(A103))=0</formula>
    </cfRule>
  </conditionalFormatting>
  <conditionalFormatting sqref="B103">
    <cfRule type="containsBlanks" dxfId="209" priority="70">
      <formula>LEN(TRIM(B103))=0</formula>
    </cfRule>
  </conditionalFormatting>
  <conditionalFormatting sqref="E103">
    <cfRule type="containsBlanks" dxfId="208" priority="69">
      <formula>LEN(TRIM(E103))=0</formula>
    </cfRule>
  </conditionalFormatting>
  <conditionalFormatting sqref="C104:C105 H104:I105 M104:M105 P104:AL105">
    <cfRule type="containsBlanks" dxfId="207" priority="67">
      <formula>LEN(TRIM(C104))=0</formula>
    </cfRule>
  </conditionalFormatting>
  <conditionalFormatting sqref="A104:A105">
    <cfRule type="containsBlanks" dxfId="206" priority="66">
      <formula>LEN(TRIM(A104))=0</formula>
    </cfRule>
  </conditionalFormatting>
  <conditionalFormatting sqref="B104:B105">
    <cfRule type="containsBlanks" dxfId="205" priority="65">
      <formula>LEN(TRIM(B104))=0</formula>
    </cfRule>
  </conditionalFormatting>
  <conditionalFormatting sqref="E104:E105">
    <cfRule type="containsBlanks" dxfId="204" priority="64">
      <formula>LEN(TRIM(E104))=0</formula>
    </cfRule>
  </conditionalFormatting>
  <conditionalFormatting sqref="F103">
    <cfRule type="containsBlanks" dxfId="203" priority="62">
      <formula>LEN(TRIM(F103))=0</formula>
    </cfRule>
  </conditionalFormatting>
  <conditionalFormatting sqref="F104:F105">
    <cfRule type="containsBlanks" dxfId="202" priority="61">
      <formula>LEN(TRIM(F104))=0</formula>
    </cfRule>
  </conditionalFormatting>
  <conditionalFormatting sqref="A108 AH108:AL108">
    <cfRule type="containsBlanks" dxfId="201" priority="60">
      <formula>LEN(TRIM(A108))=0</formula>
    </cfRule>
  </conditionalFormatting>
  <conditionalFormatting sqref="B109:C109 F109 P109:AL109">
    <cfRule type="containsBlanks" dxfId="200" priority="59">
      <formula>LEN(TRIM(B109))=0</formula>
    </cfRule>
  </conditionalFormatting>
  <conditionalFormatting sqref="A109">
    <cfRule type="containsBlanks" dxfId="199" priority="58">
      <formula>LEN(TRIM(A109))=0</formula>
    </cfRule>
  </conditionalFormatting>
  <conditionalFormatting sqref="E109">
    <cfRule type="containsBlanks" dxfId="198" priority="57">
      <formula>LEN(TRIM(E109))=0</formula>
    </cfRule>
  </conditionalFormatting>
  <conditionalFormatting sqref="S89">
    <cfRule type="containsBlanks" dxfId="197" priority="53">
      <formula>LEN(TRIM(S89))=0</formula>
    </cfRule>
  </conditionalFormatting>
  <conditionalFormatting sqref="AG89">
    <cfRule type="containsBlanks" dxfId="196" priority="43">
      <formula>LEN(TRIM(AG89))=0</formula>
    </cfRule>
  </conditionalFormatting>
  <conditionalFormatting sqref="V89">
    <cfRule type="containsBlanks" dxfId="195" priority="56">
      <formula>LEN(TRIM(V89))=0</formula>
    </cfRule>
  </conditionalFormatting>
  <conditionalFormatting sqref="A89 T89 AH89:AL89">
    <cfRule type="containsBlanks" dxfId="194" priority="55">
      <formula>LEN(TRIM(A89))=0</formula>
    </cfRule>
  </conditionalFormatting>
  <conditionalFormatting sqref="M89 I89">
    <cfRule type="containsBlanks" dxfId="193" priority="54">
      <formula>LEN(TRIM(I89))=0</formula>
    </cfRule>
  </conditionalFormatting>
  <conditionalFormatting sqref="Z89">
    <cfRule type="containsBlanks" dxfId="192" priority="52">
      <formula>LEN(TRIM(Z89))=0</formula>
    </cfRule>
  </conditionalFormatting>
  <conditionalFormatting sqref="AC89">
    <cfRule type="containsBlanks" dxfId="191" priority="51">
      <formula>LEN(TRIM(AC89))=0</formula>
    </cfRule>
  </conditionalFormatting>
  <conditionalFormatting sqref="U89">
    <cfRule type="containsBlanks" dxfId="190" priority="50">
      <formula>LEN(TRIM(U89))=0</formula>
    </cfRule>
  </conditionalFormatting>
  <conditionalFormatting sqref="Q89">
    <cfRule type="containsBlanks" dxfId="189" priority="49">
      <formula>LEN(TRIM(Q89))=0</formula>
    </cfRule>
  </conditionalFormatting>
  <conditionalFormatting sqref="AA89">
    <cfRule type="containsBlanks" dxfId="188" priority="48">
      <formula>LEN(TRIM(AA89))=0</formula>
    </cfRule>
  </conditionalFormatting>
  <conditionalFormatting sqref="AD89">
    <cfRule type="containsBlanks" dxfId="187" priority="47">
      <formula>LEN(TRIM(AD89))=0</formula>
    </cfRule>
  </conditionalFormatting>
  <conditionalFormatting sqref="AB89">
    <cfRule type="containsBlanks" dxfId="186" priority="46">
      <formula>LEN(TRIM(AB89))=0</formula>
    </cfRule>
  </conditionalFormatting>
  <conditionalFormatting sqref="AE89">
    <cfRule type="containsBlanks" dxfId="185" priority="45">
      <formula>LEN(TRIM(AE89))=0</formula>
    </cfRule>
  </conditionalFormatting>
  <conditionalFormatting sqref="AF89">
    <cfRule type="containsBlanks" dxfId="184" priority="44">
      <formula>LEN(TRIM(AF89))=0</formula>
    </cfRule>
  </conditionalFormatting>
  <conditionalFormatting sqref="B89:C89">
    <cfRule type="containsBlanks" dxfId="183" priority="42">
      <formula>LEN(TRIM(B89))=0</formula>
    </cfRule>
  </conditionalFormatting>
  <conditionalFormatting sqref="F89">
    <cfRule type="containsBlanks" dxfId="182" priority="41">
      <formula>LEN(TRIM(F89))=0</formula>
    </cfRule>
  </conditionalFormatting>
  <conditionalFormatting sqref="Y89">
    <cfRule type="containsBlanks" dxfId="181" priority="40">
      <formula>LEN(TRIM(Y89))=0</formula>
    </cfRule>
  </conditionalFormatting>
  <conditionalFormatting sqref="E89">
    <cfRule type="containsBlanks" dxfId="180" priority="39">
      <formula>LEN(TRIM(E89))=0</formula>
    </cfRule>
  </conditionalFormatting>
  <conditionalFormatting sqref="W89">
    <cfRule type="containsBlanks" dxfId="179" priority="38">
      <formula>LEN(TRIM(W89))=0</formula>
    </cfRule>
  </conditionalFormatting>
  <conditionalFormatting sqref="X89">
    <cfRule type="containsBlanks" dxfId="178" priority="37">
      <formula>LEN(TRIM(X89))=0</formula>
    </cfRule>
  </conditionalFormatting>
  <conditionalFormatting sqref="R89">
    <cfRule type="containsBlanks" dxfId="177" priority="36">
      <formula>LEN(TRIM(R89))=0</formula>
    </cfRule>
  </conditionalFormatting>
  <conditionalFormatting sqref="S90">
    <cfRule type="containsBlanks" dxfId="176" priority="32">
      <formula>LEN(TRIM(S90))=0</formula>
    </cfRule>
  </conditionalFormatting>
  <conditionalFormatting sqref="AG90">
    <cfRule type="containsBlanks" dxfId="175" priority="22">
      <formula>LEN(TRIM(AG90))=0</formula>
    </cfRule>
  </conditionalFormatting>
  <conditionalFormatting sqref="V90">
    <cfRule type="containsBlanks" dxfId="174" priority="35">
      <formula>LEN(TRIM(V90))=0</formula>
    </cfRule>
  </conditionalFormatting>
  <conditionalFormatting sqref="A90 T90 AH90:AL90">
    <cfRule type="containsBlanks" dxfId="173" priority="34">
      <formula>LEN(TRIM(A90))=0</formula>
    </cfRule>
  </conditionalFormatting>
  <conditionalFormatting sqref="M90 I90">
    <cfRule type="containsBlanks" dxfId="172" priority="33">
      <formula>LEN(TRIM(I90))=0</formula>
    </cfRule>
  </conditionalFormatting>
  <conditionalFormatting sqref="Z90">
    <cfRule type="containsBlanks" dxfId="171" priority="31">
      <formula>LEN(TRIM(Z90))=0</formula>
    </cfRule>
  </conditionalFormatting>
  <conditionalFormatting sqref="AC90">
    <cfRule type="containsBlanks" dxfId="170" priority="30">
      <formula>LEN(TRIM(AC90))=0</formula>
    </cfRule>
  </conditionalFormatting>
  <conditionalFormatting sqref="U90">
    <cfRule type="containsBlanks" dxfId="169" priority="29">
      <formula>LEN(TRIM(U90))=0</formula>
    </cfRule>
  </conditionalFormatting>
  <conditionalFormatting sqref="Q90">
    <cfRule type="containsBlanks" dxfId="168" priority="28">
      <formula>LEN(TRIM(Q90))=0</formula>
    </cfRule>
  </conditionalFormatting>
  <conditionalFormatting sqref="AA90">
    <cfRule type="containsBlanks" dxfId="167" priority="27">
      <formula>LEN(TRIM(AA90))=0</formula>
    </cfRule>
  </conditionalFormatting>
  <conditionalFormatting sqref="AD90">
    <cfRule type="containsBlanks" dxfId="166" priority="26">
      <formula>LEN(TRIM(AD90))=0</formula>
    </cfRule>
  </conditionalFormatting>
  <conditionalFormatting sqref="AB90">
    <cfRule type="containsBlanks" dxfId="165" priority="25">
      <formula>LEN(TRIM(AB90))=0</formula>
    </cfRule>
  </conditionalFormatting>
  <conditionalFormatting sqref="AE90">
    <cfRule type="containsBlanks" dxfId="164" priority="24">
      <formula>LEN(TRIM(AE90))=0</formula>
    </cfRule>
  </conditionalFormatting>
  <conditionalFormatting sqref="AF90">
    <cfRule type="containsBlanks" dxfId="163" priority="23">
      <formula>LEN(TRIM(AF90))=0</formula>
    </cfRule>
  </conditionalFormatting>
  <conditionalFormatting sqref="B90:C90">
    <cfRule type="containsBlanks" dxfId="162" priority="21">
      <formula>LEN(TRIM(B90))=0</formula>
    </cfRule>
  </conditionalFormatting>
  <conditionalFormatting sqref="F90">
    <cfRule type="containsBlanks" dxfId="161" priority="20">
      <formula>LEN(TRIM(F90))=0</formula>
    </cfRule>
  </conditionalFormatting>
  <conditionalFormatting sqref="Y90">
    <cfRule type="containsBlanks" dxfId="160" priority="19">
      <formula>LEN(TRIM(Y90))=0</formula>
    </cfRule>
  </conditionalFormatting>
  <conditionalFormatting sqref="E90">
    <cfRule type="containsBlanks" dxfId="159" priority="18">
      <formula>LEN(TRIM(E90))=0</formula>
    </cfRule>
  </conditionalFormatting>
  <conditionalFormatting sqref="W90">
    <cfRule type="containsBlanks" dxfId="158" priority="17">
      <formula>LEN(TRIM(W90))=0</formula>
    </cfRule>
  </conditionalFormatting>
  <conditionalFormatting sqref="X90">
    <cfRule type="containsBlanks" dxfId="157" priority="16">
      <formula>LEN(TRIM(X90))=0</formula>
    </cfRule>
  </conditionalFormatting>
  <conditionalFormatting sqref="R90">
    <cfRule type="containsBlanks" dxfId="156" priority="15">
      <formula>LEN(TRIM(R90))=0</formula>
    </cfRule>
  </conditionalFormatting>
  <conditionalFormatting sqref="B55">
    <cfRule type="containsBlanks" dxfId="155" priority="14">
      <formula>LEN(TRIM(B55))=0</formula>
    </cfRule>
  </conditionalFormatting>
  <conditionalFormatting sqref="H109:I109 M109">
    <cfRule type="containsBlanks" dxfId="154" priority="13">
      <formula>LEN(TRIM(H109))=0</formula>
    </cfRule>
  </conditionalFormatting>
  <conditionalFormatting sqref="H107:I107 M107">
    <cfRule type="containsBlanks" dxfId="153" priority="12">
      <formula>LEN(TRIM(H107))=0</formula>
    </cfRule>
  </conditionalFormatting>
  <conditionalFormatting sqref="U59">
    <cfRule type="containsBlanks" dxfId="152" priority="11">
      <formula>LEN(TRIM(U59))=0</formula>
    </cfRule>
  </conditionalFormatting>
  <conditionalFormatting sqref="U73">
    <cfRule type="containsBlanks" dxfId="151" priority="10">
      <formula>LEN(TRIM(U73))=0</formula>
    </cfRule>
  </conditionalFormatting>
  <conditionalFormatting sqref="A110 AH110:AL110">
    <cfRule type="containsBlanks" dxfId="150" priority="9">
      <formula>LEN(TRIM(A110))=0</formula>
    </cfRule>
  </conditionalFormatting>
  <conditionalFormatting sqref="B111:C111 F111 P111:AL112 C112">
    <cfRule type="containsBlanks" dxfId="149" priority="8">
      <formula>LEN(TRIM(B111))=0</formula>
    </cfRule>
  </conditionalFormatting>
  <conditionalFormatting sqref="A111:A112">
    <cfRule type="containsBlanks" dxfId="148" priority="7">
      <formula>LEN(TRIM(A111))=0</formula>
    </cfRule>
  </conditionalFormatting>
  <conditionalFormatting sqref="H111:I112 M111:M112">
    <cfRule type="containsBlanks" dxfId="147" priority="5">
      <formula>LEN(TRIM(H111))=0</formula>
    </cfRule>
  </conditionalFormatting>
  <conditionalFormatting sqref="B113:C115">
    <cfRule type="containsBlanks" dxfId="146" priority="4">
      <formula>LEN(TRIM(B113))=0</formula>
    </cfRule>
  </conditionalFormatting>
  <conditionalFormatting sqref="M113:M115">
    <cfRule type="containsBlanks" dxfId="145" priority="3">
      <formula>LEN(TRIM(M113))=0</formula>
    </cfRule>
  </conditionalFormatting>
  <conditionalFormatting sqref="U75">
    <cfRule type="containsBlanks" dxfId="144" priority="2">
      <formula>LEN(TRIM(U75))=0</formula>
    </cfRule>
  </conditionalFormatting>
  <conditionalFormatting sqref="E111 E113:E115">
    <cfRule type="containsBlanks" dxfId="143" priority="1">
      <formula>LEN(TRIM(E111))=0</formula>
    </cfRule>
  </conditionalFormatting>
  <hyperlinks>
    <hyperlink ref="B1" r:id="rId1"/>
  </hyperlinks>
  <pageMargins left="0.7" right="0.7" top="0.75" bottom="0.75" header="0.3" footer="0.3"/>
  <pageSetup paperSize="9" orientation="portrait" r:id="rId2"/>
  <drawing r:id="rId3"/>
  <legacy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:AP75"/>
  <sheetViews>
    <sheetView zoomScale="115" zoomScaleNormal="115" workbookViewId="0">
      <pane xSplit="5" ySplit="3" topLeftCell="G4" activePane="bottomRight" state="frozen"/>
      <selection pane="topRight" activeCell="E1" sqref="E1"/>
      <selection pane="bottomLeft" activeCell="A4" sqref="A4"/>
      <selection pane="bottomRight"/>
    </sheetView>
  </sheetViews>
  <sheetFormatPr defaultColWidth="0" defaultRowHeight="0" customHeight="1" zeroHeight="1" x14ac:dyDescent="0.25"/>
  <cols>
    <col min="1" max="1" width="2.5703125" style="1" customWidth="1"/>
    <col min="2" max="2" width="15.5703125" style="1" bestFit="1" customWidth="1"/>
    <col min="3" max="3" width="0.42578125" style="1" customWidth="1"/>
    <col min="4" max="4" width="22.85546875" style="1" customWidth="1"/>
    <col min="5" max="6" width="22.85546875" style="1" hidden="1" customWidth="1"/>
    <col min="7" max="7" width="34" style="1" bestFit="1" customWidth="1"/>
    <col min="8" max="8" width="15.42578125" style="1" hidden="1" customWidth="1"/>
    <col min="9" max="9" width="0.42578125" style="1" customWidth="1"/>
    <col min="10" max="12" width="12.85546875" style="17" customWidth="1"/>
    <col min="13" max="14" width="0.42578125" style="1" customWidth="1"/>
    <col min="15" max="15" width="54.28515625" style="1" customWidth="1"/>
    <col min="16" max="16" width="17.42578125" style="1" customWidth="1"/>
    <col min="17" max="17" width="0.42578125" style="1" customWidth="1"/>
    <col min="18" max="20" width="9.140625" style="1" customWidth="1"/>
    <col min="21" max="21" width="0.42578125" style="1" customWidth="1"/>
    <col min="22" max="22" width="9.140625" style="1" customWidth="1"/>
    <col min="23" max="23" width="10.140625" style="1" bestFit="1" customWidth="1"/>
    <col min="24" max="24" width="0.42578125" style="1" customWidth="1"/>
    <col min="25" max="25" width="9.140625" style="1" customWidth="1"/>
    <col min="26" max="26" width="10.140625" style="1" bestFit="1" customWidth="1"/>
    <col min="27" max="30" width="9.140625" style="1" customWidth="1"/>
    <col min="31" max="42" width="0" style="1" hidden="1" customWidth="1"/>
    <col min="43" max="16384" width="9.140625" style="1" hidden="1"/>
  </cols>
  <sheetData>
    <row r="1" spans="2:33" ht="15.75" x14ac:dyDescent="0.25">
      <c r="B1" s="39"/>
    </row>
    <row r="2" spans="2:33" ht="15.75" x14ac:dyDescent="0.25">
      <c r="B2" s="460" t="s">
        <v>49</v>
      </c>
      <c r="D2" s="460" t="s">
        <v>38</v>
      </c>
      <c r="E2" s="460"/>
      <c r="F2" s="460"/>
      <c r="G2" s="460"/>
      <c r="H2" s="460" t="s">
        <v>75</v>
      </c>
      <c r="J2" s="460" t="s">
        <v>40</v>
      </c>
      <c r="K2" s="460"/>
      <c r="L2" s="461" t="s">
        <v>96</v>
      </c>
      <c r="R2" s="416" t="s">
        <v>148</v>
      </c>
      <c r="S2" s="416"/>
      <c r="T2" s="416"/>
      <c r="V2" s="416" t="s">
        <v>150</v>
      </c>
      <c r="W2" s="416"/>
      <c r="Y2" s="454" t="s">
        <v>167</v>
      </c>
      <c r="Z2" s="454"/>
    </row>
    <row r="3" spans="2:33" ht="15.75" x14ac:dyDescent="0.25">
      <c r="B3" s="460"/>
      <c r="C3" s="99"/>
      <c r="D3" s="214" t="s">
        <v>91</v>
      </c>
      <c r="E3" s="99" t="s">
        <v>197</v>
      </c>
      <c r="F3" s="107" t="s">
        <v>194</v>
      </c>
      <c r="G3" s="99" t="s">
        <v>196</v>
      </c>
      <c r="H3" s="460"/>
      <c r="J3" s="99" t="s">
        <v>2</v>
      </c>
      <c r="K3" s="99" t="s">
        <v>138</v>
      </c>
      <c r="L3" s="461"/>
      <c r="N3" s="99"/>
      <c r="O3" s="99" t="s">
        <v>132</v>
      </c>
      <c r="P3" s="99" t="s">
        <v>146</v>
      </c>
      <c r="Q3" s="99"/>
      <c r="R3" s="99" t="s">
        <v>147</v>
      </c>
      <c r="S3" s="99" t="s">
        <v>54</v>
      </c>
      <c r="T3" s="99" t="s">
        <v>53</v>
      </c>
      <c r="U3" s="99"/>
      <c r="V3" s="99" t="s">
        <v>153</v>
      </c>
      <c r="W3" s="99" t="s">
        <v>152</v>
      </c>
      <c r="X3" s="99"/>
      <c r="Y3" s="99" t="s">
        <v>153</v>
      </c>
      <c r="Z3" s="99" t="s">
        <v>166</v>
      </c>
      <c r="AA3" s="99"/>
    </row>
    <row r="4" spans="2:33" ht="15.75" customHeight="1" x14ac:dyDescent="0.25">
      <c r="B4" s="92" t="s">
        <v>39</v>
      </c>
      <c r="C4" s="32"/>
      <c r="D4" s="233" t="s">
        <v>293</v>
      </c>
      <c r="E4" s="93" t="s">
        <v>198</v>
      </c>
      <c r="F4" s="104" t="s">
        <v>201</v>
      </c>
      <c r="G4" s="248" t="s">
        <v>195</v>
      </c>
      <c r="H4" s="94"/>
      <c r="I4" s="36"/>
      <c r="J4" s="424" t="s">
        <v>127</v>
      </c>
      <c r="K4" s="431" t="s">
        <v>203</v>
      </c>
      <c r="L4" s="94">
        <v>0.5</v>
      </c>
      <c r="M4" s="36"/>
      <c r="N4" s="32"/>
      <c r="O4" s="98"/>
      <c r="P4" s="67">
        <v>42988</v>
      </c>
      <c r="Q4" s="32"/>
      <c r="R4" s="97"/>
      <c r="S4" s="97"/>
      <c r="T4" s="97"/>
      <c r="U4" s="32"/>
      <c r="V4" s="95"/>
      <c r="W4" s="95"/>
      <c r="X4" s="32"/>
      <c r="Y4" s="95"/>
      <c r="Z4" s="95"/>
    </row>
    <row r="5" spans="2:33" ht="15.75" customHeight="1" x14ac:dyDescent="0.25">
      <c r="B5" s="92" t="s">
        <v>39</v>
      </c>
      <c r="C5" s="32"/>
      <c r="D5" s="233" t="s">
        <v>293</v>
      </c>
      <c r="E5" s="93" t="s">
        <v>199</v>
      </c>
      <c r="F5" s="104" t="s">
        <v>202</v>
      </c>
      <c r="G5" s="248" t="s">
        <v>35</v>
      </c>
      <c r="H5" s="94"/>
      <c r="I5" s="36"/>
      <c r="J5" s="428"/>
      <c r="K5" s="432"/>
      <c r="L5" s="105">
        <v>0.3</v>
      </c>
      <c r="M5" s="36"/>
      <c r="N5" s="32"/>
      <c r="O5" s="98"/>
      <c r="P5" s="67">
        <v>42988</v>
      </c>
      <c r="Q5" s="32"/>
      <c r="R5" s="97"/>
      <c r="S5" s="97"/>
      <c r="T5" s="97"/>
      <c r="U5" s="32"/>
      <c r="V5" s="95"/>
      <c r="W5" s="95"/>
      <c r="X5" s="32"/>
      <c r="Y5" s="95"/>
      <c r="Z5" s="95"/>
    </row>
    <row r="6" spans="2:33" ht="15.75" customHeight="1" x14ac:dyDescent="0.25">
      <c r="B6" s="34" t="s">
        <v>39</v>
      </c>
      <c r="C6" s="32"/>
      <c r="D6" s="239" t="s">
        <v>297</v>
      </c>
      <c r="E6" s="466" t="s">
        <v>200</v>
      </c>
      <c r="F6" s="466" t="s">
        <v>218</v>
      </c>
      <c r="G6" s="248" t="s">
        <v>33</v>
      </c>
      <c r="H6" s="37"/>
      <c r="I6" s="36"/>
      <c r="J6" s="428"/>
      <c r="K6" s="432"/>
      <c r="L6" s="105">
        <v>0.3</v>
      </c>
      <c r="M6" s="36"/>
      <c r="N6" s="32"/>
      <c r="O6" s="70"/>
      <c r="P6" s="443">
        <v>42988</v>
      </c>
      <c r="Q6" s="32"/>
      <c r="R6" s="96"/>
      <c r="S6" s="96"/>
      <c r="T6" s="96"/>
      <c r="U6" s="32"/>
      <c r="V6" s="71"/>
      <c r="W6" s="71"/>
      <c r="X6" s="32"/>
      <c r="Y6" s="71"/>
      <c r="Z6" s="71"/>
    </row>
    <row r="7" spans="2:33" ht="15.75" customHeight="1" x14ac:dyDescent="0.25">
      <c r="B7" s="103" t="s">
        <v>39</v>
      </c>
      <c r="C7" s="32"/>
      <c r="D7" s="239" t="s">
        <v>297</v>
      </c>
      <c r="E7" s="466"/>
      <c r="F7" s="466"/>
      <c r="G7" s="248" t="s">
        <v>36</v>
      </c>
      <c r="H7" s="106"/>
      <c r="I7" s="38"/>
      <c r="J7" s="428"/>
      <c r="K7" s="432"/>
      <c r="L7" s="105">
        <v>0.3</v>
      </c>
      <c r="M7" s="38"/>
      <c r="N7" s="32"/>
      <c r="O7" s="100"/>
      <c r="P7" s="443"/>
      <c r="Q7" s="32"/>
      <c r="R7" s="101"/>
      <c r="S7" s="101"/>
      <c r="T7" s="101"/>
      <c r="U7" s="32"/>
      <c r="V7" s="102"/>
      <c r="W7" s="102"/>
      <c r="X7" s="32"/>
      <c r="Y7" s="102"/>
      <c r="Z7" s="102"/>
    </row>
    <row r="8" spans="2:33" ht="15.75" customHeight="1" x14ac:dyDescent="0.25">
      <c r="B8" s="34" t="s">
        <v>39</v>
      </c>
      <c r="C8" s="32"/>
      <c r="D8" s="239" t="s">
        <v>297</v>
      </c>
      <c r="E8" s="466"/>
      <c r="F8" s="466"/>
      <c r="G8" s="257" t="s">
        <v>37</v>
      </c>
      <c r="H8" s="37"/>
      <c r="I8" s="36"/>
      <c r="J8" s="428"/>
      <c r="K8" s="432"/>
      <c r="L8" s="105">
        <v>0.3</v>
      </c>
      <c r="M8" s="36"/>
      <c r="N8" s="32"/>
      <c r="O8" s="70"/>
      <c r="P8" s="443"/>
      <c r="Q8" s="32"/>
      <c r="R8" s="96"/>
      <c r="S8" s="96"/>
      <c r="T8" s="96"/>
      <c r="U8" s="32"/>
      <c r="V8" s="71"/>
      <c r="W8" s="71"/>
      <c r="X8" s="32"/>
      <c r="Y8" s="71"/>
      <c r="Z8" s="71"/>
    </row>
    <row r="9" spans="2:33" ht="15.75" x14ac:dyDescent="0.25">
      <c r="B9" s="34" t="s">
        <v>39</v>
      </c>
      <c r="C9" s="58"/>
      <c r="D9" s="233" t="s">
        <v>293</v>
      </c>
      <c r="E9" s="58"/>
      <c r="F9" s="58"/>
      <c r="G9" s="256" t="s">
        <v>291</v>
      </c>
      <c r="J9" s="428"/>
      <c r="K9" s="432"/>
      <c r="L9" s="197">
        <v>0.3</v>
      </c>
      <c r="N9" s="58"/>
      <c r="P9" s="247">
        <v>43084</v>
      </c>
      <c r="Q9" s="58"/>
      <c r="U9" s="58"/>
      <c r="X9" s="58"/>
    </row>
    <row r="10" spans="2:33" ht="9" customHeight="1" x14ac:dyDescent="0.25">
      <c r="B10" s="47"/>
      <c r="C10" s="48"/>
      <c r="D10" s="215"/>
      <c r="E10" s="49"/>
      <c r="F10" s="49"/>
      <c r="G10" s="49"/>
      <c r="H10" s="49"/>
      <c r="I10" s="49"/>
      <c r="J10" s="50"/>
      <c r="K10" s="50"/>
      <c r="L10" s="50"/>
      <c r="M10" s="49"/>
      <c r="N10" s="50"/>
      <c r="O10" s="49"/>
      <c r="P10" s="49"/>
      <c r="Q10" s="49"/>
      <c r="R10" s="51"/>
      <c r="S10" s="48"/>
      <c r="T10" s="51"/>
      <c r="U10" s="68"/>
      <c r="V10" s="48"/>
      <c r="W10" s="51"/>
      <c r="X10" s="51"/>
      <c r="Y10" s="51"/>
      <c r="Z10" s="48"/>
      <c r="AA10" s="51"/>
      <c r="AB10" s="51"/>
      <c r="AC10" s="48"/>
      <c r="AD10" s="51"/>
      <c r="AE10" s="51"/>
      <c r="AF10" s="134"/>
      <c r="AG10" s="138"/>
    </row>
    <row r="11" spans="2:33" ht="15.75" x14ac:dyDescent="0.25">
      <c r="B11" s="65" t="s">
        <v>243</v>
      </c>
      <c r="C11" s="58"/>
      <c r="D11" s="239" t="s">
        <v>297</v>
      </c>
      <c r="E11" s="240"/>
      <c r="F11" s="58"/>
      <c r="G11" s="240" t="s">
        <v>307</v>
      </c>
      <c r="J11" s="424" t="s">
        <v>127</v>
      </c>
      <c r="K11" s="431" t="s">
        <v>203</v>
      </c>
      <c r="L11" s="245">
        <v>0.5</v>
      </c>
      <c r="N11" s="58"/>
      <c r="Q11" s="58"/>
      <c r="U11" s="58"/>
      <c r="X11" s="58"/>
    </row>
    <row r="12" spans="2:33" ht="15.75" x14ac:dyDescent="0.25">
      <c r="B12" s="65" t="s">
        <v>243</v>
      </c>
      <c r="C12" s="58"/>
      <c r="D12" s="233" t="s">
        <v>293</v>
      </c>
      <c r="E12" s="240"/>
      <c r="F12" s="58"/>
      <c r="G12" s="240" t="s">
        <v>308</v>
      </c>
      <c r="J12" s="428"/>
      <c r="K12" s="432"/>
      <c r="L12" s="245">
        <v>0.6</v>
      </c>
      <c r="N12" s="58"/>
      <c r="P12" s="284">
        <v>43116</v>
      </c>
      <c r="Q12" s="58"/>
      <c r="U12" s="58"/>
      <c r="X12" s="58"/>
    </row>
    <row r="13" spans="2:33" ht="15.75" x14ac:dyDescent="0.25">
      <c r="B13" s="65" t="s">
        <v>243</v>
      </c>
      <c r="C13" s="58"/>
      <c r="D13" s="239" t="s">
        <v>297</v>
      </c>
      <c r="E13" s="240"/>
      <c r="F13" s="58"/>
      <c r="G13" s="240" t="s">
        <v>309</v>
      </c>
      <c r="J13" s="428"/>
      <c r="K13" s="432"/>
      <c r="L13" s="245">
        <v>0.3</v>
      </c>
      <c r="N13" s="58"/>
      <c r="Q13" s="58"/>
      <c r="U13" s="58"/>
      <c r="X13" s="58"/>
    </row>
    <row r="14" spans="2:33" ht="15.75" x14ac:dyDescent="0.25">
      <c r="B14" s="65" t="s">
        <v>243</v>
      </c>
      <c r="C14" s="58"/>
      <c r="D14" s="239" t="s">
        <v>297</v>
      </c>
      <c r="E14" s="240"/>
      <c r="F14" s="58"/>
      <c r="G14" s="240" t="s">
        <v>310</v>
      </c>
      <c r="J14" s="428"/>
      <c r="K14" s="432"/>
      <c r="L14" s="245">
        <v>0.5</v>
      </c>
      <c r="N14" s="58"/>
      <c r="Q14" s="58"/>
      <c r="U14" s="58"/>
      <c r="X14" s="58"/>
    </row>
    <row r="15" spans="2:33" ht="15.75" x14ac:dyDescent="0.25">
      <c r="B15" s="65" t="s">
        <v>243</v>
      </c>
      <c r="C15" s="58"/>
      <c r="D15" s="233" t="s">
        <v>293</v>
      </c>
      <c r="E15" s="240"/>
      <c r="F15" s="58"/>
      <c r="G15" s="240" t="s">
        <v>311</v>
      </c>
      <c r="J15" s="428"/>
      <c r="K15" s="432"/>
      <c r="L15" s="245">
        <v>0.4</v>
      </c>
      <c r="N15" s="58"/>
      <c r="P15" s="284">
        <v>43116</v>
      </c>
      <c r="Q15" s="58"/>
      <c r="U15" s="58"/>
      <c r="X15" s="58"/>
    </row>
    <row r="16" spans="2:33" ht="9" customHeight="1" x14ac:dyDescent="0.25">
      <c r="B16" s="47"/>
      <c r="C16" s="48"/>
      <c r="D16" s="215"/>
      <c r="E16" s="49"/>
      <c r="F16" s="49"/>
      <c r="G16" s="49"/>
      <c r="H16" s="49"/>
      <c r="I16" s="49"/>
      <c r="J16" s="50"/>
      <c r="K16" s="50"/>
      <c r="L16" s="50"/>
      <c r="M16" s="49"/>
      <c r="N16" s="50"/>
      <c r="O16" s="49"/>
      <c r="P16" s="49"/>
      <c r="Q16" s="49"/>
      <c r="R16" s="51"/>
      <c r="S16" s="48"/>
      <c r="T16" s="51"/>
      <c r="U16" s="68"/>
      <c r="V16" s="48"/>
      <c r="W16" s="51"/>
      <c r="X16" s="51"/>
      <c r="Y16" s="51"/>
      <c r="Z16" s="48"/>
      <c r="AA16" s="51"/>
      <c r="AB16" s="51"/>
      <c r="AC16" s="48"/>
      <c r="AD16" s="51"/>
      <c r="AE16" s="51"/>
      <c r="AF16" s="134"/>
      <c r="AG16" s="138"/>
    </row>
    <row r="17" spans="2:24" ht="15.75" x14ac:dyDescent="0.25">
      <c r="B17" s="65" t="s">
        <v>42</v>
      </c>
      <c r="C17" s="58"/>
      <c r="D17" s="233" t="s">
        <v>293</v>
      </c>
      <c r="E17" s="310"/>
      <c r="F17" s="58"/>
      <c r="G17" s="310" t="s">
        <v>357</v>
      </c>
      <c r="J17" s="424" t="s">
        <v>127</v>
      </c>
      <c r="K17" s="431" t="s">
        <v>203</v>
      </c>
      <c r="L17" s="308">
        <v>0.5</v>
      </c>
      <c r="N17" s="58"/>
      <c r="P17" s="409">
        <v>43167</v>
      </c>
      <c r="Q17" s="58"/>
      <c r="U17" s="58"/>
      <c r="X17" s="58"/>
    </row>
    <row r="18" spans="2:24" ht="15.75" x14ac:dyDescent="0.25">
      <c r="B18" s="65" t="s">
        <v>42</v>
      </c>
      <c r="C18" s="58"/>
      <c r="D18" s="233" t="s">
        <v>293</v>
      </c>
      <c r="E18" s="310"/>
      <c r="F18" s="58"/>
      <c r="G18" s="310" t="s">
        <v>358</v>
      </c>
      <c r="J18" s="428"/>
      <c r="K18" s="432"/>
      <c r="L18" s="308">
        <v>0.5</v>
      </c>
      <c r="N18" s="58"/>
      <c r="P18" s="409">
        <v>43167</v>
      </c>
      <c r="Q18" s="58"/>
      <c r="U18" s="58"/>
      <c r="X18" s="58"/>
    </row>
    <row r="19" spans="2:24" ht="15.75" x14ac:dyDescent="0.25">
      <c r="B19" s="65" t="s">
        <v>42</v>
      </c>
      <c r="C19" s="58"/>
      <c r="D19" s="233" t="s">
        <v>293</v>
      </c>
      <c r="E19" s="310"/>
      <c r="F19" s="58"/>
      <c r="G19" s="310" t="s">
        <v>359</v>
      </c>
      <c r="J19" s="428"/>
      <c r="K19" s="432"/>
      <c r="L19" s="308">
        <v>0.5</v>
      </c>
      <c r="N19" s="58"/>
      <c r="P19" s="409">
        <v>43167</v>
      </c>
      <c r="Q19" s="58"/>
      <c r="U19" s="58"/>
      <c r="X19" s="58"/>
    </row>
    <row r="20" spans="2:24" ht="15.75" x14ac:dyDescent="0.25">
      <c r="B20" s="65"/>
      <c r="C20" s="58"/>
      <c r="D20" s="58"/>
      <c r="E20" s="58"/>
      <c r="F20" s="58"/>
      <c r="N20" s="58"/>
      <c r="Q20" s="58"/>
      <c r="U20" s="58"/>
      <c r="X20" s="58"/>
    </row>
    <row r="21" spans="2:24" ht="15.75" x14ac:dyDescent="0.25">
      <c r="B21" s="65"/>
      <c r="C21" s="58"/>
      <c r="D21" s="58"/>
      <c r="E21" s="58"/>
      <c r="F21" s="58"/>
      <c r="N21" s="58"/>
      <c r="Q21" s="58"/>
      <c r="U21" s="58"/>
      <c r="X21" s="58"/>
    </row>
    <row r="22" spans="2:24" ht="15.75" x14ac:dyDescent="0.25">
      <c r="B22" s="65"/>
      <c r="C22" s="58"/>
      <c r="D22" s="58"/>
      <c r="E22" s="58"/>
      <c r="F22" s="58"/>
      <c r="N22" s="58"/>
      <c r="Q22" s="58"/>
      <c r="U22" s="58"/>
      <c r="X22" s="58"/>
    </row>
    <row r="23" spans="2:24" ht="15.75" x14ac:dyDescent="0.25">
      <c r="B23" s="65"/>
      <c r="C23" s="58"/>
      <c r="D23" s="58"/>
      <c r="E23" s="58"/>
      <c r="F23" s="58"/>
      <c r="N23" s="58"/>
      <c r="Q23" s="58"/>
      <c r="U23" s="58"/>
      <c r="X23" s="58"/>
    </row>
    <row r="24" spans="2:24" ht="15.75" x14ac:dyDescent="0.25">
      <c r="B24" s="65"/>
      <c r="C24" s="58"/>
      <c r="D24" s="58"/>
      <c r="E24" s="58"/>
      <c r="F24" s="58"/>
      <c r="N24" s="58"/>
      <c r="Q24" s="58"/>
      <c r="U24" s="58"/>
      <c r="X24" s="58"/>
    </row>
    <row r="25" spans="2:24" ht="15.75" x14ac:dyDescent="0.25">
      <c r="B25" s="65"/>
      <c r="C25" s="58"/>
      <c r="D25" s="58"/>
      <c r="E25" s="58"/>
      <c r="F25" s="58"/>
      <c r="N25" s="58"/>
      <c r="Q25" s="58"/>
      <c r="U25" s="58"/>
      <c r="X25" s="58"/>
    </row>
    <row r="26" spans="2:24" ht="15.75" x14ac:dyDescent="0.25">
      <c r="B26" s="65"/>
      <c r="C26" s="58"/>
      <c r="D26" s="58"/>
      <c r="E26" s="58"/>
      <c r="F26" s="58"/>
      <c r="N26" s="58"/>
      <c r="Q26" s="58"/>
      <c r="U26" s="58"/>
      <c r="X26" s="58"/>
    </row>
    <row r="27" spans="2:24" ht="15.75" x14ac:dyDescent="0.25">
      <c r="B27" s="65"/>
      <c r="C27" s="58"/>
      <c r="D27" s="58"/>
      <c r="E27" s="58"/>
      <c r="F27" s="58"/>
      <c r="N27" s="58"/>
      <c r="Q27" s="58"/>
      <c r="U27" s="58"/>
      <c r="X27" s="58"/>
    </row>
    <row r="28" spans="2:24" ht="15.75" x14ac:dyDescent="0.25">
      <c r="B28" s="65"/>
      <c r="C28" s="58"/>
      <c r="D28" s="58"/>
      <c r="E28" s="58"/>
      <c r="F28" s="58"/>
      <c r="N28" s="58"/>
      <c r="Q28" s="58"/>
      <c r="U28" s="58"/>
      <c r="X28" s="58"/>
    </row>
    <row r="29" spans="2:24" ht="15.75" x14ac:dyDescent="0.25">
      <c r="B29" s="65"/>
      <c r="C29" s="58"/>
      <c r="D29" s="58"/>
      <c r="E29" s="58"/>
      <c r="F29" s="58"/>
      <c r="N29" s="58"/>
      <c r="Q29" s="58"/>
      <c r="U29" s="58"/>
      <c r="X29" s="58"/>
    </row>
    <row r="30" spans="2:24" ht="15.75" x14ac:dyDescent="0.25">
      <c r="B30" s="65"/>
      <c r="C30" s="58"/>
      <c r="D30" s="58"/>
      <c r="E30" s="58"/>
      <c r="F30" s="58"/>
      <c r="N30" s="58"/>
      <c r="Q30" s="58"/>
      <c r="U30" s="58"/>
      <c r="X30" s="58"/>
    </row>
    <row r="31" spans="2:24" ht="15.75" x14ac:dyDescent="0.25">
      <c r="B31" s="65"/>
      <c r="C31" s="58"/>
      <c r="D31" s="58"/>
      <c r="E31" s="58"/>
      <c r="F31" s="58"/>
      <c r="N31" s="58"/>
      <c r="Q31" s="58"/>
      <c r="U31" s="58"/>
      <c r="X31" s="58"/>
    </row>
    <row r="32" spans="2:24" ht="15.75" x14ac:dyDescent="0.25">
      <c r="B32" s="65"/>
      <c r="C32" s="58"/>
      <c r="D32" s="58"/>
      <c r="E32" s="58"/>
      <c r="F32" s="58"/>
      <c r="N32" s="58"/>
      <c r="Q32" s="58"/>
      <c r="U32" s="58"/>
      <c r="X32" s="58"/>
    </row>
    <row r="33" spans="2:24" ht="15.75" x14ac:dyDescent="0.25">
      <c r="B33" s="65"/>
      <c r="C33" s="58"/>
      <c r="D33" s="58"/>
      <c r="E33" s="58"/>
      <c r="F33" s="58"/>
      <c r="N33" s="58"/>
      <c r="Q33" s="58"/>
      <c r="U33" s="58"/>
      <c r="X33" s="58"/>
    </row>
    <row r="34" spans="2:24" ht="15.75" x14ac:dyDescent="0.25">
      <c r="B34" s="65"/>
      <c r="C34" s="58"/>
      <c r="D34" s="58"/>
      <c r="E34" s="58"/>
      <c r="F34" s="58"/>
      <c r="N34" s="58"/>
      <c r="Q34" s="58"/>
      <c r="U34" s="58"/>
      <c r="X34" s="58"/>
    </row>
    <row r="35" spans="2:24" ht="15.75" x14ac:dyDescent="0.25">
      <c r="B35" s="65"/>
      <c r="C35" s="58"/>
      <c r="D35" s="58"/>
      <c r="E35" s="58"/>
      <c r="F35" s="58"/>
      <c r="N35" s="58"/>
      <c r="Q35" s="58"/>
      <c r="U35" s="58"/>
      <c r="X35" s="58"/>
    </row>
    <row r="36" spans="2:24" ht="15.75" x14ac:dyDescent="0.25">
      <c r="B36" s="65"/>
      <c r="C36" s="58"/>
      <c r="D36" s="58"/>
      <c r="E36" s="58"/>
      <c r="F36" s="58"/>
      <c r="N36" s="58"/>
      <c r="Q36" s="58"/>
      <c r="U36" s="58"/>
      <c r="X36" s="58"/>
    </row>
    <row r="37" spans="2:24" ht="15.75" x14ac:dyDescent="0.25">
      <c r="B37" s="65"/>
      <c r="C37" s="58"/>
      <c r="D37" s="58"/>
      <c r="E37" s="58"/>
      <c r="F37" s="58"/>
      <c r="N37" s="58"/>
      <c r="Q37" s="58"/>
      <c r="U37" s="58"/>
      <c r="X37" s="58"/>
    </row>
    <row r="38" spans="2:24" ht="15.75" x14ac:dyDescent="0.25">
      <c r="B38" s="65"/>
      <c r="C38" s="58"/>
      <c r="D38" s="58"/>
      <c r="E38" s="58"/>
      <c r="F38" s="58"/>
      <c r="N38" s="58"/>
      <c r="Q38" s="58"/>
      <c r="U38" s="58"/>
      <c r="X38" s="58"/>
    </row>
    <row r="39" spans="2:24" ht="15.75" x14ac:dyDescent="0.25">
      <c r="B39" s="65"/>
      <c r="C39" s="58"/>
      <c r="D39" s="58"/>
      <c r="E39" s="58"/>
      <c r="F39" s="58"/>
      <c r="N39" s="58"/>
      <c r="Q39" s="58"/>
      <c r="U39" s="58"/>
      <c r="X39" s="58"/>
    </row>
    <row r="40" spans="2:24" ht="15.75" x14ac:dyDescent="0.25">
      <c r="B40" s="65"/>
      <c r="C40" s="58"/>
      <c r="D40" s="58"/>
      <c r="E40" s="58"/>
      <c r="F40" s="58"/>
      <c r="N40" s="58"/>
      <c r="Q40" s="58"/>
      <c r="U40" s="58"/>
      <c r="X40" s="58"/>
    </row>
    <row r="41" spans="2:24" ht="15.75" x14ac:dyDescent="0.25">
      <c r="B41" s="65"/>
      <c r="C41" s="58"/>
      <c r="D41" s="58"/>
      <c r="E41" s="58"/>
      <c r="F41" s="58"/>
      <c r="N41" s="58"/>
      <c r="Q41" s="58"/>
      <c r="U41" s="58"/>
      <c r="X41" s="58"/>
    </row>
    <row r="42" spans="2:24" ht="15.75" x14ac:dyDescent="0.25">
      <c r="B42" s="65"/>
      <c r="C42" s="58"/>
      <c r="D42" s="58"/>
      <c r="E42" s="58"/>
      <c r="F42" s="58"/>
      <c r="N42" s="58"/>
      <c r="Q42" s="58"/>
      <c r="U42" s="58"/>
      <c r="X42" s="58"/>
    </row>
    <row r="43" spans="2:24" ht="15.75" x14ac:dyDescent="0.25">
      <c r="B43" s="65"/>
      <c r="C43" s="58"/>
      <c r="D43" s="58"/>
      <c r="E43" s="58"/>
      <c r="F43" s="58"/>
      <c r="N43" s="58"/>
      <c r="Q43" s="58"/>
      <c r="U43" s="58"/>
      <c r="X43" s="58"/>
    </row>
    <row r="44" spans="2:24" ht="15.75" x14ac:dyDescent="0.25">
      <c r="B44" s="65"/>
      <c r="C44" s="58"/>
      <c r="D44" s="58"/>
      <c r="E44" s="58"/>
      <c r="F44" s="58"/>
      <c r="N44" s="58"/>
      <c r="Q44" s="58"/>
      <c r="U44" s="58"/>
      <c r="X44" s="58"/>
    </row>
    <row r="45" spans="2:24" ht="15.75" x14ac:dyDescent="0.25">
      <c r="B45" s="65"/>
      <c r="C45" s="58"/>
      <c r="D45" s="58"/>
      <c r="E45" s="58"/>
      <c r="F45" s="58"/>
      <c r="N45" s="58"/>
      <c r="Q45" s="58"/>
      <c r="U45" s="58"/>
      <c r="X45" s="58"/>
    </row>
    <row r="46" spans="2:24" ht="15.75" x14ac:dyDescent="0.25">
      <c r="B46" s="65"/>
      <c r="C46" s="58"/>
      <c r="D46" s="58"/>
      <c r="E46" s="58"/>
      <c r="F46" s="58"/>
      <c r="N46" s="58"/>
      <c r="Q46" s="58"/>
      <c r="U46" s="58"/>
      <c r="X46" s="58"/>
    </row>
    <row r="47" spans="2:24" ht="15.75" x14ac:dyDescent="0.25">
      <c r="B47" s="65"/>
      <c r="C47" s="58"/>
      <c r="D47" s="58"/>
      <c r="E47" s="58"/>
      <c r="F47" s="58"/>
      <c r="N47" s="58"/>
      <c r="Q47" s="58"/>
      <c r="U47" s="58"/>
      <c r="X47" s="58"/>
    </row>
    <row r="48" spans="2:24" ht="15.75" x14ac:dyDescent="0.25">
      <c r="B48" s="65"/>
      <c r="C48" s="58"/>
      <c r="D48" s="58"/>
      <c r="E48" s="58"/>
      <c r="F48" s="58"/>
      <c r="N48" s="58"/>
      <c r="Q48" s="58"/>
      <c r="U48" s="58"/>
      <c r="X48" s="58"/>
    </row>
    <row r="49" spans="2:24" ht="15.75" x14ac:dyDescent="0.25">
      <c r="B49" s="65"/>
      <c r="C49" s="58"/>
      <c r="D49" s="58"/>
      <c r="E49" s="58"/>
      <c r="F49" s="58"/>
      <c r="N49" s="58"/>
      <c r="Q49" s="58"/>
      <c r="U49" s="58"/>
      <c r="X49" s="58"/>
    </row>
    <row r="50" spans="2:24" ht="15.75" x14ac:dyDescent="0.25">
      <c r="B50" s="65"/>
      <c r="C50" s="58"/>
      <c r="D50" s="58"/>
      <c r="E50" s="58"/>
      <c r="F50" s="58"/>
      <c r="N50" s="58"/>
      <c r="Q50" s="58"/>
      <c r="U50" s="58"/>
      <c r="X50" s="58"/>
    </row>
    <row r="51" spans="2:24" ht="15.75" x14ac:dyDescent="0.25">
      <c r="B51" s="65"/>
      <c r="C51" s="58"/>
      <c r="D51" s="58"/>
      <c r="E51" s="58"/>
      <c r="F51" s="58"/>
      <c r="N51" s="58"/>
      <c r="Q51" s="58"/>
      <c r="U51" s="58"/>
      <c r="X51" s="58"/>
    </row>
    <row r="52" spans="2:24" ht="15.75" x14ac:dyDescent="0.25">
      <c r="B52" s="65"/>
      <c r="C52" s="58"/>
      <c r="D52" s="58"/>
      <c r="E52" s="58"/>
      <c r="F52" s="58"/>
      <c r="N52" s="58"/>
      <c r="Q52" s="58"/>
      <c r="U52" s="58"/>
      <c r="X52" s="58"/>
    </row>
    <row r="53" spans="2:24" ht="15.75" x14ac:dyDescent="0.25">
      <c r="B53" s="65"/>
      <c r="C53" s="58"/>
      <c r="D53" s="58"/>
      <c r="E53" s="58"/>
      <c r="F53" s="58"/>
      <c r="N53" s="58"/>
      <c r="Q53" s="58"/>
      <c r="U53" s="58"/>
      <c r="X53" s="58"/>
    </row>
    <row r="54" spans="2:24" ht="15.75" x14ac:dyDescent="0.25">
      <c r="B54" s="65"/>
      <c r="C54" s="58"/>
      <c r="D54" s="58"/>
      <c r="E54" s="58"/>
      <c r="F54" s="58"/>
      <c r="N54" s="58"/>
      <c r="Q54" s="58"/>
      <c r="U54" s="58"/>
      <c r="X54" s="58"/>
    </row>
    <row r="55" spans="2:24" ht="15.75" x14ac:dyDescent="0.25">
      <c r="B55" s="65"/>
      <c r="C55" s="58"/>
      <c r="D55" s="58"/>
      <c r="E55" s="58"/>
      <c r="F55" s="58"/>
      <c r="N55" s="58"/>
      <c r="Q55" s="58"/>
      <c r="U55" s="58"/>
      <c r="X55" s="58"/>
    </row>
    <row r="56" spans="2:24" ht="15.75" x14ac:dyDescent="0.25">
      <c r="B56" s="65"/>
      <c r="C56" s="58"/>
      <c r="D56" s="58"/>
      <c r="E56" s="58"/>
      <c r="F56" s="58"/>
      <c r="N56" s="58"/>
      <c r="Q56" s="58"/>
      <c r="U56" s="58"/>
      <c r="X56" s="58"/>
    </row>
    <row r="57" spans="2:24" ht="15.75" customHeight="1" x14ac:dyDescent="0.25">
      <c r="B57" s="58"/>
      <c r="C57" s="58"/>
      <c r="D57" s="58"/>
      <c r="E57" s="58"/>
      <c r="F57" s="58"/>
      <c r="N57" s="58"/>
      <c r="Q57" s="58"/>
      <c r="U57" s="58"/>
      <c r="X57" s="58"/>
    </row>
    <row r="58" spans="2:24" ht="15.75" customHeight="1" x14ac:dyDescent="0.25">
      <c r="B58" s="58"/>
      <c r="C58" s="58"/>
      <c r="D58" s="58"/>
      <c r="E58" s="58"/>
      <c r="F58" s="58"/>
      <c r="N58" s="58"/>
      <c r="Q58" s="58"/>
      <c r="U58" s="58"/>
      <c r="X58" s="58"/>
    </row>
    <row r="59" spans="2:24" ht="15.75" customHeight="1" x14ac:dyDescent="0.25">
      <c r="B59" s="58"/>
      <c r="C59" s="58"/>
      <c r="D59" s="58"/>
      <c r="E59" s="58"/>
      <c r="F59" s="58"/>
      <c r="N59" s="58"/>
      <c r="Q59" s="58"/>
      <c r="U59" s="58"/>
      <c r="X59" s="58"/>
    </row>
    <row r="60" spans="2:24" ht="15.75" customHeight="1" x14ac:dyDescent="0.25">
      <c r="B60" s="58"/>
      <c r="C60" s="58"/>
      <c r="D60" s="58"/>
      <c r="E60" s="58"/>
      <c r="F60" s="58"/>
      <c r="N60" s="58"/>
      <c r="Q60" s="58"/>
      <c r="U60" s="58"/>
      <c r="X60" s="58"/>
    </row>
    <row r="61" spans="2:24" ht="15.75" customHeight="1" x14ac:dyDescent="0.25">
      <c r="B61" s="58"/>
      <c r="C61" s="58"/>
      <c r="D61" s="58"/>
      <c r="E61" s="58"/>
      <c r="F61" s="58"/>
      <c r="N61" s="58"/>
      <c r="Q61" s="58"/>
      <c r="U61" s="58"/>
      <c r="X61" s="58"/>
    </row>
    <row r="62" spans="2:24" ht="15.75" customHeight="1" x14ac:dyDescent="0.25">
      <c r="B62" s="58"/>
      <c r="C62" s="58"/>
      <c r="D62" s="58"/>
      <c r="E62" s="58"/>
      <c r="F62" s="58"/>
      <c r="N62" s="58"/>
      <c r="Q62" s="58"/>
      <c r="U62" s="58"/>
      <c r="X62" s="58"/>
    </row>
    <row r="63" spans="2:24" ht="15.75" customHeight="1" x14ac:dyDescent="0.25">
      <c r="B63" s="58"/>
      <c r="C63" s="58"/>
      <c r="D63" s="58"/>
      <c r="E63" s="58"/>
      <c r="F63" s="58"/>
      <c r="N63" s="58"/>
      <c r="Q63" s="58"/>
      <c r="U63" s="58"/>
      <c r="X63" s="58"/>
    </row>
    <row r="64" spans="2:24" ht="15.75" customHeight="1" x14ac:dyDescent="0.25">
      <c r="B64" s="58"/>
      <c r="C64" s="58"/>
      <c r="D64" s="58"/>
      <c r="E64" s="58"/>
      <c r="F64" s="58"/>
      <c r="N64" s="58"/>
      <c r="Q64" s="58"/>
      <c r="U64" s="58"/>
      <c r="X64" s="58"/>
    </row>
    <row r="65" spans="2:24" ht="15.75" customHeight="1" x14ac:dyDescent="0.25">
      <c r="B65" s="58"/>
      <c r="C65" s="58"/>
      <c r="D65" s="58"/>
      <c r="E65" s="58"/>
      <c r="F65" s="58"/>
      <c r="N65" s="58"/>
      <c r="Q65" s="58"/>
      <c r="U65" s="58"/>
      <c r="X65" s="58"/>
    </row>
    <row r="66" spans="2:24" ht="15.75" customHeight="1" x14ac:dyDescent="0.25">
      <c r="B66" s="58"/>
      <c r="C66" s="58"/>
      <c r="D66" s="58"/>
      <c r="E66" s="58"/>
      <c r="F66" s="58"/>
      <c r="N66" s="58"/>
      <c r="Q66" s="58"/>
      <c r="U66" s="58"/>
      <c r="X66" s="58"/>
    </row>
    <row r="67" spans="2:24" ht="15.75" customHeight="1" x14ac:dyDescent="0.25">
      <c r="B67" s="58"/>
      <c r="C67" s="58"/>
      <c r="D67" s="58"/>
      <c r="E67" s="58"/>
      <c r="F67" s="58"/>
      <c r="N67" s="58"/>
      <c r="Q67" s="58"/>
      <c r="U67" s="58"/>
      <c r="X67" s="58"/>
    </row>
    <row r="68" spans="2:24" ht="15.75" customHeight="1" x14ac:dyDescent="0.25">
      <c r="B68" s="58"/>
      <c r="C68" s="58"/>
      <c r="D68" s="58"/>
      <c r="E68" s="58"/>
      <c r="F68" s="58"/>
      <c r="N68" s="58"/>
      <c r="Q68" s="58"/>
      <c r="U68" s="58"/>
      <c r="X68" s="58"/>
    </row>
    <row r="69" spans="2:24" ht="15.75" customHeight="1" x14ac:dyDescent="0.25">
      <c r="B69" s="58"/>
      <c r="C69" s="58"/>
      <c r="D69" s="58"/>
      <c r="E69" s="58"/>
      <c r="F69" s="58"/>
      <c r="N69" s="58"/>
      <c r="Q69" s="58"/>
      <c r="U69" s="58"/>
      <c r="X69" s="58"/>
    </row>
    <row r="70" spans="2:24" ht="15.75" customHeight="1" x14ac:dyDescent="0.25"/>
    <row r="71" spans="2:24" ht="15.75" customHeight="1" x14ac:dyDescent="0.25"/>
    <row r="72" spans="2:24" ht="15.75" customHeight="1" x14ac:dyDescent="0.25"/>
    <row r="73" spans="2:24" ht="15.75" customHeight="1" x14ac:dyDescent="0.25"/>
    <row r="74" spans="2:24" ht="15.75" customHeight="1" x14ac:dyDescent="0.25"/>
    <row r="75" spans="2:24" ht="15.75" customHeight="1" x14ac:dyDescent="0.25"/>
  </sheetData>
  <mergeCells count="17">
    <mergeCell ref="Y2:Z2"/>
    <mergeCell ref="P6:P8"/>
    <mergeCell ref="K4:K9"/>
    <mergeCell ref="J4:J9"/>
    <mergeCell ref="V2:W2"/>
    <mergeCell ref="B2:B3"/>
    <mergeCell ref="H2:H3"/>
    <mergeCell ref="J2:K2"/>
    <mergeCell ref="L2:L3"/>
    <mergeCell ref="D2:G2"/>
    <mergeCell ref="J17:J19"/>
    <mergeCell ref="K17:K19"/>
    <mergeCell ref="E6:E8"/>
    <mergeCell ref="F6:F8"/>
    <mergeCell ref="R2:T2"/>
    <mergeCell ref="J11:J15"/>
    <mergeCell ref="K11:K15"/>
  </mergeCells>
  <conditionalFormatting sqref="M6:M7 L1 C2:C3 B4:C6 AA4:AB4 AD4:AF4 O3:P3 O1:P1 V1:W1 V3:W3 R1:T1 R3:T3 AA1:AF3 A9 B1:C1 I3:I7 AA5:AF7 A1:A7 N1:N6 U1:U6 Q1:Q6 X1:X6 C9 M9:O9 E9:I9 E1:H1 E4:F6 H2 D2 F11:F15 H11:I15 M11:AF11 A11:C15 Q9:AF9 M13:AF14 M12:O12 Q12:AF12 M15:O15 Q15:AF15 A18:A19 A20:AF23 M18:O19 Q18:AF19">
    <cfRule type="containsBlanks" dxfId="142" priority="197">
      <formula>LEN(TRIM(A1))=0</formula>
    </cfRule>
  </conditionalFormatting>
  <conditionalFormatting sqref="B2">
    <cfRule type="containsBlanks" dxfId="141" priority="196">
      <formula>LEN(TRIM(B2))=0</formula>
    </cfRule>
  </conditionalFormatting>
  <conditionalFormatting sqref="I1:I3">
    <cfRule type="containsBlanks" dxfId="140" priority="194">
      <formula>LEN(TRIM(I1))=0</formula>
    </cfRule>
  </conditionalFormatting>
  <conditionalFormatting sqref="M3:M4">
    <cfRule type="containsBlanks" dxfId="139" priority="192">
      <formula>LEN(TRIM(M3))=0</formula>
    </cfRule>
  </conditionalFormatting>
  <conditionalFormatting sqref="M1:M3">
    <cfRule type="containsBlanks" dxfId="138" priority="191">
      <formula>LEN(TRIM(M1))=0</formula>
    </cfRule>
  </conditionalFormatting>
  <conditionalFormatting sqref="M5">
    <cfRule type="containsBlanks" dxfId="137" priority="190">
      <formula>LEN(TRIM(M5))=0</formula>
    </cfRule>
  </conditionalFormatting>
  <conditionalFormatting sqref="L2">
    <cfRule type="containsBlanks" dxfId="136" priority="187">
      <formula>LEN(TRIM(L2))=0</formula>
    </cfRule>
  </conditionalFormatting>
  <conditionalFormatting sqref="B7:C7">
    <cfRule type="containsBlanks" dxfId="135" priority="185">
      <formula>LEN(TRIM(B7))=0</formula>
    </cfRule>
  </conditionalFormatting>
  <conditionalFormatting sqref="J1:K1">
    <cfRule type="containsBlanks" dxfId="134" priority="176">
      <formula>LEN(TRIM(J1))=0</formula>
    </cfRule>
  </conditionalFormatting>
  <conditionalFormatting sqref="J2">
    <cfRule type="containsBlanks" dxfId="133" priority="175">
      <formula>LEN(TRIM(J2))=0</formula>
    </cfRule>
  </conditionalFormatting>
  <conditionalFormatting sqref="E3:G3">
    <cfRule type="containsBlanks" dxfId="132" priority="172">
      <formula>LEN(TRIM(E3))=0</formula>
    </cfRule>
  </conditionalFormatting>
  <conditionalFormatting sqref="G5:G6">
    <cfRule type="containsBlanks" dxfId="131" priority="168">
      <formula>LEN(TRIM(G5))=0</formula>
    </cfRule>
  </conditionalFormatting>
  <conditionalFormatting sqref="G7">
    <cfRule type="containsBlanks" dxfId="130" priority="167">
      <formula>LEN(TRIM(G7))=0</formula>
    </cfRule>
  </conditionalFormatting>
  <conditionalFormatting sqref="J3:K3">
    <cfRule type="containsBlanks" dxfId="129" priority="153">
      <formula>LEN(TRIM(J3))=0</formula>
    </cfRule>
  </conditionalFormatting>
  <conditionalFormatting sqref="AC4">
    <cfRule type="containsBlanks" dxfId="128" priority="150">
      <formula>LEN(TRIM(AC4))=0</formula>
    </cfRule>
  </conditionalFormatting>
  <conditionalFormatting sqref="N7">
    <cfRule type="containsBlanks" dxfId="127" priority="148">
      <formula>LEN(TRIM(N7))=0</formula>
    </cfRule>
  </conditionalFormatting>
  <conditionalFormatting sqref="R4">
    <cfRule type="containsBlanks" dxfId="126" priority="138">
      <formula>LEN(TRIM(R4))=0</formula>
    </cfRule>
  </conditionalFormatting>
  <conditionalFormatting sqref="S4:T4">
    <cfRule type="containsBlanks" dxfId="125" priority="134">
      <formula>LEN(TRIM(S4))=0</formula>
    </cfRule>
  </conditionalFormatting>
  <conditionalFormatting sqref="O2:P2">
    <cfRule type="containsBlanks" dxfId="124" priority="139">
      <formula>LEN(TRIM(O2))=0</formula>
    </cfRule>
  </conditionalFormatting>
  <conditionalFormatting sqref="S7:T7">
    <cfRule type="containsBlanks" dxfId="123" priority="132">
      <formula>LEN(TRIM(S7))=0</formula>
    </cfRule>
  </conditionalFormatting>
  <conditionalFormatting sqref="S5:T5">
    <cfRule type="containsBlanks" dxfId="122" priority="133">
      <formula>LEN(TRIM(S5))=0</formula>
    </cfRule>
  </conditionalFormatting>
  <conditionalFormatting sqref="R5">
    <cfRule type="containsBlanks" dxfId="121" priority="137">
      <formula>LEN(TRIM(R5))=0</formula>
    </cfRule>
  </conditionalFormatting>
  <conditionalFormatting sqref="R7">
    <cfRule type="containsBlanks" dxfId="120" priority="136">
      <formula>LEN(TRIM(R7))=0</formula>
    </cfRule>
  </conditionalFormatting>
  <conditionalFormatting sqref="R6">
    <cfRule type="containsBlanks" dxfId="119" priority="135">
      <formula>LEN(TRIM(R6))=0</formula>
    </cfRule>
  </conditionalFormatting>
  <conditionalFormatting sqref="S6:T6">
    <cfRule type="containsBlanks" dxfId="118" priority="131">
      <formula>LEN(TRIM(S6))=0</formula>
    </cfRule>
  </conditionalFormatting>
  <conditionalFormatting sqref="V5">
    <cfRule type="containsBlanks" dxfId="117" priority="109">
      <formula>LEN(TRIM(V5))=0</formula>
    </cfRule>
  </conditionalFormatting>
  <conditionalFormatting sqref="V7:W7">
    <cfRule type="containsBlanks" dxfId="116" priority="108">
      <formula>LEN(TRIM(V7))=0</formula>
    </cfRule>
  </conditionalFormatting>
  <conditionalFormatting sqref="U7">
    <cfRule type="containsBlanks" dxfId="115" priority="124">
      <formula>LEN(TRIM(U7))=0</formula>
    </cfRule>
  </conditionalFormatting>
  <conditionalFormatting sqref="Q7">
    <cfRule type="containsBlanks" dxfId="114" priority="117">
      <formula>LEN(TRIM(Q7))=0</formula>
    </cfRule>
  </conditionalFormatting>
  <conditionalFormatting sqref="V4:W4">
    <cfRule type="containsBlanks" dxfId="113" priority="110">
      <formula>LEN(TRIM(V4))=0</formula>
    </cfRule>
  </conditionalFormatting>
  <conditionalFormatting sqref="V6:W6">
    <cfRule type="containsBlanks" dxfId="112" priority="107">
      <formula>LEN(TRIM(V6))=0</formula>
    </cfRule>
  </conditionalFormatting>
  <conditionalFormatting sqref="O6">
    <cfRule type="containsBlanks" dxfId="111" priority="102">
      <formula>LEN(TRIM(O6))=0</formula>
    </cfRule>
  </conditionalFormatting>
  <conditionalFormatting sqref="O4">
    <cfRule type="containsBlanks" dxfId="110" priority="101">
      <formula>LEN(TRIM(O4))=0</formula>
    </cfRule>
  </conditionalFormatting>
  <conditionalFormatting sqref="O5">
    <cfRule type="containsBlanks" dxfId="109" priority="100">
      <formula>LEN(TRIM(O5))=0</formula>
    </cfRule>
  </conditionalFormatting>
  <conditionalFormatting sqref="O7">
    <cfRule type="containsBlanks" dxfId="108" priority="99">
      <formula>LEN(TRIM(O7))=0</formula>
    </cfRule>
  </conditionalFormatting>
  <conditionalFormatting sqref="Y1:Z1 Y3:Z3">
    <cfRule type="containsBlanks" dxfId="107" priority="94">
      <formula>LEN(TRIM(Y1))=0</formula>
    </cfRule>
  </conditionalFormatting>
  <conditionalFormatting sqref="Y5">
    <cfRule type="containsBlanks" dxfId="106" priority="84">
      <formula>LEN(TRIM(Y5))=0</formula>
    </cfRule>
  </conditionalFormatting>
  <conditionalFormatting sqref="Y7">
    <cfRule type="containsBlanks" dxfId="105" priority="83">
      <formula>LEN(TRIM(Y7))=0</formula>
    </cfRule>
  </conditionalFormatting>
  <conditionalFormatting sqref="X7">
    <cfRule type="containsBlanks" dxfId="104" priority="91">
      <formula>LEN(TRIM(X7))=0</formula>
    </cfRule>
  </conditionalFormatting>
  <conditionalFormatting sqref="Y4">
    <cfRule type="containsBlanks" dxfId="103" priority="85">
      <formula>LEN(TRIM(Y4))=0</formula>
    </cfRule>
  </conditionalFormatting>
  <conditionalFormatting sqref="Y6:Z6">
    <cfRule type="containsBlanks" dxfId="102" priority="82">
      <formula>LEN(TRIM(Y6))=0</formula>
    </cfRule>
  </conditionalFormatting>
  <conditionalFormatting sqref="W5">
    <cfRule type="containsBlanks" dxfId="101" priority="79">
      <formula>LEN(TRIM(W5))=0</formula>
    </cfRule>
  </conditionalFormatting>
  <conditionalFormatting sqref="Z7">
    <cfRule type="containsBlanks" dxfId="100" priority="69">
      <formula>LEN(TRIM(Z7))=0</formula>
    </cfRule>
  </conditionalFormatting>
  <conditionalFormatting sqref="Z5">
    <cfRule type="containsBlanks" dxfId="99" priority="68">
      <formula>LEN(TRIM(Z5))=0</formula>
    </cfRule>
  </conditionalFormatting>
  <conditionalFormatting sqref="Z4">
    <cfRule type="containsBlanks" dxfId="98" priority="67">
      <formula>LEN(TRIM(Z4))=0</formula>
    </cfRule>
  </conditionalFormatting>
  <conditionalFormatting sqref="I8 M8 AD8:AF8 AA8 A8:C8">
    <cfRule type="containsBlanks" dxfId="97" priority="64">
      <formula>LEN(TRIM(A8))=0</formula>
    </cfRule>
  </conditionalFormatting>
  <conditionalFormatting sqref="AB8:AC8">
    <cfRule type="containsBlanks" dxfId="96" priority="63">
      <formula>LEN(TRIM(AB8))=0</formula>
    </cfRule>
  </conditionalFormatting>
  <conditionalFormatting sqref="G8">
    <cfRule type="containsBlanks" dxfId="95" priority="62">
      <formula>LEN(TRIM(G8))=0</formula>
    </cfRule>
  </conditionalFormatting>
  <conditionalFormatting sqref="N8">
    <cfRule type="containsBlanks" dxfId="94" priority="61">
      <formula>LEN(TRIM(N8))=0</formula>
    </cfRule>
  </conditionalFormatting>
  <conditionalFormatting sqref="R8">
    <cfRule type="containsBlanks" dxfId="93" priority="60">
      <formula>LEN(TRIM(R8))=0</formula>
    </cfRule>
  </conditionalFormatting>
  <conditionalFormatting sqref="S8:T8">
    <cfRule type="containsBlanks" dxfId="92" priority="59">
      <formula>LEN(TRIM(S8))=0</formula>
    </cfRule>
  </conditionalFormatting>
  <conditionalFormatting sqref="U8">
    <cfRule type="containsBlanks" dxfId="91" priority="58">
      <formula>LEN(TRIM(U8))=0</formula>
    </cfRule>
  </conditionalFormatting>
  <conditionalFormatting sqref="Q8">
    <cfRule type="containsBlanks" dxfId="90" priority="57">
      <formula>LEN(TRIM(Q8))=0</formula>
    </cfRule>
  </conditionalFormatting>
  <conditionalFormatting sqref="V8:W8">
    <cfRule type="containsBlanks" dxfId="89" priority="56">
      <formula>LEN(TRIM(V8))=0</formula>
    </cfRule>
  </conditionalFormatting>
  <conditionalFormatting sqref="O8">
    <cfRule type="containsBlanks" dxfId="88" priority="55">
      <formula>LEN(TRIM(O8))=0</formula>
    </cfRule>
  </conditionalFormatting>
  <conditionalFormatting sqref="X8">
    <cfRule type="containsBlanks" dxfId="87" priority="54">
      <formula>LEN(TRIM(X8))=0</formula>
    </cfRule>
  </conditionalFormatting>
  <conditionalFormatting sqref="Y8:Z8">
    <cfRule type="containsBlanks" dxfId="86" priority="53">
      <formula>LEN(TRIM(Y8))=0</formula>
    </cfRule>
  </conditionalFormatting>
  <conditionalFormatting sqref="P4:P6">
    <cfRule type="containsBlanks" dxfId="85" priority="38">
      <formula>LEN(TRIM(P4))=0</formula>
    </cfRule>
  </conditionalFormatting>
  <conditionalFormatting sqref="G4">
    <cfRule type="containsBlanks" dxfId="84" priority="37">
      <formula>LEN(TRIM(G4))=0</formula>
    </cfRule>
  </conditionalFormatting>
  <conditionalFormatting sqref="B24:C56 E24:AF56">
    <cfRule type="containsBlanks" dxfId="83" priority="36">
      <formula>LEN(TRIM(B24))=0</formula>
    </cfRule>
  </conditionalFormatting>
  <conditionalFormatting sqref="A24:A56">
    <cfRule type="containsBlanks" dxfId="82" priority="35">
      <formula>LEN(TRIM(A24))=0</formula>
    </cfRule>
  </conditionalFormatting>
  <conditionalFormatting sqref="B9">
    <cfRule type="containsBlanks" dxfId="81" priority="30">
      <formula>LEN(TRIM(B9))=0</formula>
    </cfRule>
  </conditionalFormatting>
  <conditionalFormatting sqref="D1 D4:D5 D9">
    <cfRule type="containsBlanks" dxfId="80" priority="29">
      <formula>LEN(TRIM(D1))=0</formula>
    </cfRule>
  </conditionalFormatting>
  <conditionalFormatting sqref="D3">
    <cfRule type="containsBlanks" dxfId="79" priority="27">
      <formula>LEN(TRIM(D3))=0</formula>
    </cfRule>
  </conditionalFormatting>
  <conditionalFormatting sqref="D24:D56">
    <cfRule type="containsBlanks" dxfId="78" priority="26">
      <formula>LEN(TRIM(D24))=0</formula>
    </cfRule>
  </conditionalFormatting>
  <conditionalFormatting sqref="E11:E15">
    <cfRule type="containsBlanks" dxfId="77" priority="23">
      <formula>LEN(TRIM(E11))=0</formula>
    </cfRule>
  </conditionalFormatting>
  <conditionalFormatting sqref="A10 AH10:AL10">
    <cfRule type="containsBlanks" dxfId="76" priority="21">
      <formula>LEN(TRIM(A10))=0</formula>
    </cfRule>
  </conditionalFormatting>
  <conditionalFormatting sqref="G11:G15">
    <cfRule type="containsBlanks" dxfId="75" priority="20">
      <formula>LEN(TRIM(G11))=0</formula>
    </cfRule>
  </conditionalFormatting>
  <conditionalFormatting sqref="P9">
    <cfRule type="containsBlanks" dxfId="74" priority="18">
      <formula>LEN(TRIM(P9))=0</formula>
    </cfRule>
  </conditionalFormatting>
  <conditionalFormatting sqref="P12">
    <cfRule type="containsBlanks" dxfId="73" priority="17">
      <formula>LEN(TRIM(P12))=0</formula>
    </cfRule>
  </conditionalFormatting>
  <conditionalFormatting sqref="P15">
    <cfRule type="containsBlanks" dxfId="72" priority="16">
      <formula>LEN(TRIM(P15))=0</formula>
    </cfRule>
  </conditionalFormatting>
  <conditionalFormatting sqref="D15 D12">
    <cfRule type="containsBlanks" dxfId="71" priority="15">
      <formula>LEN(TRIM(D12))=0</formula>
    </cfRule>
  </conditionalFormatting>
  <conditionalFormatting sqref="F17 H17:I17 M17:O17 A17:C17 Q17:AF17">
    <cfRule type="containsBlanks" dxfId="70" priority="14">
      <formula>LEN(TRIM(A17))=0</formula>
    </cfRule>
  </conditionalFormatting>
  <conditionalFormatting sqref="E17">
    <cfRule type="containsBlanks" dxfId="69" priority="13">
      <formula>LEN(TRIM(E17))=0</formula>
    </cfRule>
  </conditionalFormatting>
  <conditionalFormatting sqref="A16 AH16:AL16">
    <cfRule type="containsBlanks" dxfId="68" priority="12">
      <formula>LEN(TRIM(A16))=0</formula>
    </cfRule>
  </conditionalFormatting>
  <conditionalFormatting sqref="G17">
    <cfRule type="containsBlanks" dxfId="67" priority="11">
      <formula>LEN(TRIM(G17))=0</formula>
    </cfRule>
  </conditionalFormatting>
  <conditionalFormatting sqref="F18 H18:I18 B18:C18">
    <cfRule type="containsBlanks" dxfId="66" priority="10">
      <formula>LEN(TRIM(B18))=0</formula>
    </cfRule>
  </conditionalFormatting>
  <conditionalFormatting sqref="E18">
    <cfRule type="containsBlanks" dxfId="65" priority="9">
      <formula>LEN(TRIM(E18))=0</formula>
    </cfRule>
  </conditionalFormatting>
  <conditionalFormatting sqref="G18">
    <cfRule type="containsBlanks" dxfId="64" priority="8">
      <formula>LEN(TRIM(G18))=0</formula>
    </cfRule>
  </conditionalFormatting>
  <conditionalFormatting sqref="F19 H19:I19 B19:C19">
    <cfRule type="containsBlanks" dxfId="63" priority="7">
      <formula>LEN(TRIM(B19))=0</formula>
    </cfRule>
  </conditionalFormatting>
  <conditionalFormatting sqref="E19">
    <cfRule type="containsBlanks" dxfId="62" priority="6">
      <formula>LEN(TRIM(E19))=0</formula>
    </cfRule>
  </conditionalFormatting>
  <conditionalFormatting sqref="G19">
    <cfRule type="containsBlanks" dxfId="61" priority="5">
      <formula>LEN(TRIM(G19))=0</formula>
    </cfRule>
  </conditionalFormatting>
  <conditionalFormatting sqref="D17:D19">
    <cfRule type="containsBlanks" dxfId="60" priority="4">
      <formula>LEN(TRIM(D17))=0</formula>
    </cfRule>
  </conditionalFormatting>
  <conditionalFormatting sqref="P17">
    <cfRule type="containsBlanks" dxfId="59" priority="3">
      <formula>LEN(TRIM(P17))=0</formula>
    </cfRule>
  </conditionalFormatting>
  <conditionalFormatting sqref="P18">
    <cfRule type="containsBlanks" dxfId="58" priority="2">
      <formula>LEN(TRIM(P18))=0</formula>
    </cfRule>
  </conditionalFormatting>
  <conditionalFormatting sqref="P19">
    <cfRule type="containsBlanks" dxfId="57" priority="1">
      <formula>LEN(TRIM(P19))=0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S112"/>
  <sheetViews>
    <sheetView zoomScale="130" zoomScaleNormal="130" workbookViewId="0"/>
  </sheetViews>
  <sheetFormatPr defaultColWidth="0" defaultRowHeight="15.75" customHeight="1" zeroHeight="1" x14ac:dyDescent="0.25"/>
  <cols>
    <col min="1" max="1" width="6.140625" style="1" customWidth="1"/>
    <col min="2" max="2" width="26.28515625" style="1" bestFit="1" customWidth="1"/>
    <col min="3" max="3" width="0.42578125" style="1" customWidth="1"/>
    <col min="4" max="6" width="10.7109375" style="17" customWidth="1"/>
    <col min="7" max="7" width="0.42578125" style="1" customWidth="1"/>
    <col min="8" max="10" width="10.7109375" style="17" customWidth="1"/>
    <col min="11" max="11" width="12.5703125" style="1" customWidth="1"/>
    <col min="12" max="12" width="13.85546875" style="1" bestFit="1" customWidth="1"/>
    <col min="13" max="13" width="18" style="1" bestFit="1" customWidth="1"/>
    <col min="14" max="14" width="21.7109375" style="1" bestFit="1" customWidth="1"/>
    <col min="15" max="15" width="13.85546875" style="1" customWidth="1"/>
    <col min="16" max="18" width="9.140625" style="1" customWidth="1"/>
    <col min="19" max="19" width="0" style="1" hidden="1" customWidth="1"/>
    <col min="20" max="20" width="9.140625" style="1" hidden="1" customWidth="1"/>
    <col min="21" max="16384" width="9.140625" style="1" hidden="1"/>
  </cols>
  <sheetData>
    <row r="1" spans="1:15" x14ac:dyDescent="0.25">
      <c r="A1" s="28"/>
    </row>
    <row r="2" spans="1:15" x14ac:dyDescent="0.25">
      <c r="B2" s="491" t="s">
        <v>39</v>
      </c>
      <c r="C2" s="491"/>
      <c r="D2" s="491"/>
      <c r="E2" s="491"/>
      <c r="F2" s="491"/>
      <c r="G2" s="491"/>
      <c r="H2" s="491"/>
      <c r="I2" s="491"/>
      <c r="J2" s="491"/>
      <c r="K2" s="5"/>
      <c r="L2" s="491" t="s">
        <v>51</v>
      </c>
      <c r="M2" s="491"/>
      <c r="N2" s="491"/>
      <c r="O2" s="491"/>
    </row>
    <row r="3" spans="1:15" ht="2.25" customHeight="1" x14ac:dyDescent="0.25">
      <c r="B3" s="6"/>
      <c r="D3" s="16"/>
      <c r="E3" s="16"/>
      <c r="F3" s="16"/>
      <c r="H3" s="16"/>
      <c r="I3" s="16"/>
      <c r="J3" s="16"/>
      <c r="K3" s="5"/>
    </row>
    <row r="4" spans="1:15" x14ac:dyDescent="0.25">
      <c r="B4" s="492" t="s">
        <v>38</v>
      </c>
      <c r="D4" s="493" t="s">
        <v>40</v>
      </c>
      <c r="E4" s="493"/>
      <c r="F4" s="493"/>
      <c r="H4" s="493" t="s">
        <v>41</v>
      </c>
      <c r="I4" s="493"/>
      <c r="J4" s="493"/>
      <c r="K4" s="5"/>
      <c r="L4" s="27" t="s">
        <v>49</v>
      </c>
      <c r="M4" s="27" t="s">
        <v>52</v>
      </c>
      <c r="N4" s="27" t="s">
        <v>50</v>
      </c>
      <c r="O4" s="27" t="s">
        <v>2</v>
      </c>
    </row>
    <row r="5" spans="1:15" x14ac:dyDescent="0.25">
      <c r="B5" s="492"/>
      <c r="D5" s="18" t="s">
        <v>7</v>
      </c>
      <c r="E5" s="18" t="s">
        <v>14</v>
      </c>
      <c r="F5" s="18" t="s">
        <v>24</v>
      </c>
      <c r="H5" s="18" t="s">
        <v>7</v>
      </c>
      <c r="I5" s="18" t="s">
        <v>14</v>
      </c>
      <c r="J5" s="18" t="s">
        <v>24</v>
      </c>
      <c r="K5" s="5"/>
      <c r="L5" s="11" t="s">
        <v>39</v>
      </c>
      <c r="M5" s="11" t="s">
        <v>54</v>
      </c>
      <c r="N5" s="11" t="s">
        <v>55</v>
      </c>
      <c r="O5" s="21"/>
    </row>
    <row r="6" spans="1:15" x14ac:dyDescent="0.25">
      <c r="B6" s="11" t="s">
        <v>28</v>
      </c>
      <c r="D6" s="19"/>
      <c r="E6" s="19"/>
      <c r="F6" s="19"/>
      <c r="H6" s="20"/>
      <c r="I6" s="25"/>
      <c r="J6" s="25"/>
      <c r="K6" s="5"/>
      <c r="L6" s="11" t="s">
        <v>42</v>
      </c>
      <c r="M6" s="11" t="s">
        <v>53</v>
      </c>
      <c r="N6" s="11" t="s">
        <v>59</v>
      </c>
      <c r="O6" s="20"/>
    </row>
    <row r="7" spans="1:15" x14ac:dyDescent="0.25">
      <c r="B7" s="11" t="s">
        <v>29</v>
      </c>
      <c r="D7" s="20"/>
      <c r="E7" s="20"/>
      <c r="F7" s="20"/>
      <c r="H7" s="23"/>
      <c r="I7" s="29" t="s">
        <v>61</v>
      </c>
      <c r="J7" s="26" t="s">
        <v>68</v>
      </c>
      <c r="K7" s="5"/>
      <c r="L7" s="11" t="s">
        <v>56</v>
      </c>
      <c r="M7" s="11" t="s">
        <v>54</v>
      </c>
      <c r="N7" s="11" t="s">
        <v>59</v>
      </c>
      <c r="O7" s="21"/>
    </row>
    <row r="8" spans="1:15" x14ac:dyDescent="0.25">
      <c r="B8" s="11" t="s">
        <v>30</v>
      </c>
      <c r="D8" s="20"/>
      <c r="E8" s="20"/>
      <c r="F8" s="20" t="s">
        <v>62</v>
      </c>
      <c r="H8" s="22"/>
      <c r="I8" s="22"/>
      <c r="J8" s="22"/>
      <c r="K8" s="9"/>
      <c r="L8" s="11" t="s">
        <v>56</v>
      </c>
      <c r="M8" s="11" t="s">
        <v>54</v>
      </c>
      <c r="N8" s="11" t="s">
        <v>57</v>
      </c>
      <c r="O8" s="19"/>
    </row>
    <row r="9" spans="1:15" x14ac:dyDescent="0.25">
      <c r="B9" s="11" t="s">
        <v>31</v>
      </c>
      <c r="D9" s="20"/>
      <c r="E9" s="20"/>
      <c r="F9" s="20"/>
      <c r="H9" s="22"/>
      <c r="I9" s="22"/>
      <c r="J9" s="22"/>
      <c r="K9" s="5"/>
      <c r="L9" s="11" t="s">
        <v>56</v>
      </c>
      <c r="M9" s="11" t="s">
        <v>54</v>
      </c>
      <c r="N9" s="11" t="s">
        <v>58</v>
      </c>
      <c r="O9" s="19"/>
    </row>
    <row r="10" spans="1:15" x14ac:dyDescent="0.25">
      <c r="B10" s="11" t="s">
        <v>33</v>
      </c>
      <c r="D10" s="20"/>
      <c r="E10" s="20"/>
      <c r="F10" s="20"/>
      <c r="H10" s="22"/>
      <c r="I10" s="22"/>
      <c r="J10" s="22"/>
      <c r="K10" s="5"/>
      <c r="L10" s="11" t="s">
        <v>60</v>
      </c>
      <c r="M10" s="11" t="s">
        <v>54</v>
      </c>
      <c r="N10" s="11" t="s">
        <v>57</v>
      </c>
      <c r="O10" s="19"/>
    </row>
    <row r="11" spans="1:15" x14ac:dyDescent="0.25">
      <c r="B11" s="11" t="s">
        <v>34</v>
      </c>
      <c r="D11" s="20"/>
      <c r="E11" s="20"/>
      <c r="F11" s="20"/>
      <c r="H11" s="20"/>
      <c r="I11" s="29" t="s">
        <v>61</v>
      </c>
      <c r="J11" s="20"/>
      <c r="K11" s="5"/>
      <c r="L11" s="11" t="s">
        <v>60</v>
      </c>
      <c r="M11" s="11" t="s">
        <v>54</v>
      </c>
      <c r="N11" s="11" t="s">
        <v>58</v>
      </c>
      <c r="O11" s="19"/>
    </row>
    <row r="12" spans="1:15" x14ac:dyDescent="0.25">
      <c r="B12" s="11" t="s">
        <v>35</v>
      </c>
      <c r="D12" s="20"/>
      <c r="E12" s="20"/>
      <c r="F12" s="20"/>
      <c r="H12" s="22"/>
      <c r="I12" s="22"/>
      <c r="J12" s="22"/>
      <c r="K12" s="5"/>
      <c r="L12" s="11" t="s">
        <v>64</v>
      </c>
      <c r="M12" s="11" t="s">
        <v>54</v>
      </c>
      <c r="N12" s="11" t="s">
        <v>59</v>
      </c>
      <c r="O12" s="21"/>
    </row>
    <row r="13" spans="1:15" x14ac:dyDescent="0.25">
      <c r="B13" s="11" t="s">
        <v>36</v>
      </c>
      <c r="D13" s="20"/>
      <c r="E13" s="20"/>
      <c r="F13" s="20"/>
      <c r="H13" s="22"/>
      <c r="I13" s="22"/>
      <c r="J13" s="22"/>
      <c r="K13" s="5"/>
      <c r="L13" s="11"/>
      <c r="M13" s="11"/>
      <c r="N13" s="11"/>
    </row>
    <row r="14" spans="1:15" x14ac:dyDescent="0.25">
      <c r="B14" s="11" t="s">
        <v>37</v>
      </c>
      <c r="D14" s="20"/>
      <c r="E14" s="20"/>
      <c r="F14" s="20"/>
      <c r="H14" s="22"/>
      <c r="I14" s="22"/>
      <c r="J14" s="22"/>
      <c r="K14" s="5"/>
      <c r="L14" s="11"/>
      <c r="M14" s="11"/>
      <c r="N14" s="11"/>
    </row>
    <row r="15" spans="1:15" x14ac:dyDescent="0.25">
      <c r="B15" s="24" t="s">
        <v>32</v>
      </c>
      <c r="D15" s="20"/>
      <c r="E15" s="20"/>
      <c r="F15" s="20"/>
      <c r="H15" s="22"/>
      <c r="I15" s="22"/>
      <c r="J15" s="22"/>
      <c r="K15" s="5"/>
      <c r="L15" s="494" t="s">
        <v>63</v>
      </c>
      <c r="M15" s="494"/>
      <c r="N15" s="494"/>
    </row>
    <row r="16" spans="1:15" x14ac:dyDescent="0.25">
      <c r="B16" s="7"/>
      <c r="D16" s="16"/>
      <c r="E16" s="16"/>
      <c r="F16" s="16"/>
      <c r="H16" s="16"/>
      <c r="I16" s="16"/>
      <c r="J16" s="16"/>
      <c r="K16" s="5"/>
      <c r="L16" s="494" t="s">
        <v>65</v>
      </c>
      <c r="M16" s="494"/>
      <c r="N16" s="494"/>
    </row>
    <row r="17" spans="2:14" x14ac:dyDescent="0.25">
      <c r="B17" s="7"/>
      <c r="D17" s="16"/>
      <c r="E17" s="16"/>
      <c r="F17" s="16"/>
      <c r="H17" s="16"/>
      <c r="I17" s="16"/>
      <c r="J17" s="16"/>
      <c r="K17" s="5"/>
      <c r="L17" s="11" t="s">
        <v>66</v>
      </c>
      <c r="M17" s="11"/>
      <c r="N17" s="11"/>
    </row>
    <row r="18" spans="2:14" x14ac:dyDescent="0.25">
      <c r="B18" s="491" t="s">
        <v>42</v>
      </c>
      <c r="C18" s="491"/>
      <c r="D18" s="491"/>
      <c r="E18" s="491"/>
      <c r="F18" s="491"/>
      <c r="G18" s="491"/>
      <c r="H18" s="491"/>
      <c r="I18" s="491"/>
      <c r="J18" s="491"/>
      <c r="K18" s="5"/>
      <c r="L18" s="11" t="s">
        <v>67</v>
      </c>
    </row>
    <row r="19" spans="2:14" ht="2.25" customHeight="1" x14ac:dyDescent="0.25">
      <c r="B19" s="6"/>
      <c r="D19" s="16"/>
      <c r="E19" s="16"/>
      <c r="F19" s="16"/>
      <c r="H19" s="16"/>
      <c r="I19" s="16"/>
      <c r="J19" s="16"/>
      <c r="K19" s="5"/>
    </row>
    <row r="20" spans="2:14" x14ac:dyDescent="0.25">
      <c r="B20" s="492" t="s">
        <v>38</v>
      </c>
      <c r="D20" s="493" t="s">
        <v>40</v>
      </c>
      <c r="E20" s="493"/>
      <c r="F20" s="493"/>
      <c r="H20" s="493" t="s">
        <v>41</v>
      </c>
      <c r="I20" s="493"/>
      <c r="J20" s="493"/>
      <c r="K20" s="5"/>
    </row>
    <row r="21" spans="2:14" x14ac:dyDescent="0.25">
      <c r="B21" s="492"/>
      <c r="D21" s="18" t="s">
        <v>7</v>
      </c>
      <c r="E21" s="18" t="s">
        <v>14</v>
      </c>
      <c r="F21" s="18" t="s">
        <v>24</v>
      </c>
      <c r="H21" s="18" t="s">
        <v>7</v>
      </c>
      <c r="I21" s="18" t="s">
        <v>14</v>
      </c>
      <c r="J21" s="18" t="s">
        <v>24</v>
      </c>
      <c r="K21" s="15"/>
    </row>
    <row r="22" spans="2:14" x14ac:dyDescent="0.25">
      <c r="B22" s="11" t="s">
        <v>43</v>
      </c>
      <c r="D22" s="19"/>
      <c r="E22" s="19"/>
      <c r="F22" s="19"/>
      <c r="H22" s="22"/>
      <c r="I22" s="22"/>
      <c r="J22" s="22"/>
      <c r="K22" s="5"/>
    </row>
    <row r="23" spans="2:14" x14ac:dyDescent="0.25">
      <c r="B23" s="11" t="s">
        <v>44</v>
      </c>
      <c r="D23" s="20"/>
      <c r="E23" s="20"/>
      <c r="F23" s="20"/>
      <c r="H23" s="23"/>
      <c r="I23" s="29" t="s">
        <v>61</v>
      </c>
      <c r="J23" s="20"/>
      <c r="K23" s="5"/>
    </row>
    <row r="24" spans="2:14" x14ac:dyDescent="0.25">
      <c r="B24" s="11" t="s">
        <v>45</v>
      </c>
      <c r="D24" s="20"/>
      <c r="E24" s="20"/>
      <c r="F24" s="20"/>
      <c r="H24" s="26"/>
      <c r="I24" s="29" t="s">
        <v>61</v>
      </c>
      <c r="J24" s="26" t="s">
        <v>68</v>
      </c>
      <c r="K24" s="5"/>
    </row>
    <row r="25" spans="2:14" x14ac:dyDescent="0.25">
      <c r="B25" s="11" t="s">
        <v>46</v>
      </c>
      <c r="D25" s="20"/>
      <c r="E25" s="20"/>
      <c r="F25" s="20"/>
      <c r="H25" s="22"/>
      <c r="I25" s="22"/>
      <c r="J25" s="22"/>
      <c r="K25" s="5"/>
    </row>
    <row r="26" spans="2:14" x14ac:dyDescent="0.25">
      <c r="B26" s="11" t="s">
        <v>47</v>
      </c>
      <c r="D26" s="20"/>
      <c r="E26" s="20"/>
      <c r="F26" s="20"/>
      <c r="H26" s="22"/>
      <c r="I26" s="22"/>
      <c r="J26" s="22"/>
      <c r="K26" s="5"/>
    </row>
    <row r="27" spans="2:14" x14ac:dyDescent="0.25">
      <c r="B27" s="11" t="s">
        <v>48</v>
      </c>
      <c r="D27" s="20"/>
      <c r="E27" s="20"/>
      <c r="F27" s="20"/>
      <c r="H27" s="23"/>
      <c r="I27" s="29" t="s">
        <v>61</v>
      </c>
      <c r="J27" s="26" t="s">
        <v>68</v>
      </c>
      <c r="K27" s="5"/>
    </row>
    <row r="28" spans="2:14" x14ac:dyDescent="0.25">
      <c r="B28" s="24" t="s">
        <v>32</v>
      </c>
      <c r="D28" s="20"/>
      <c r="E28" s="20"/>
      <c r="F28" s="20"/>
      <c r="H28" s="22"/>
      <c r="I28" s="22"/>
      <c r="J28" s="22"/>
      <c r="K28" s="5"/>
    </row>
    <row r="29" spans="2:14" x14ac:dyDescent="0.25">
      <c r="B29" s="7"/>
      <c r="K29" s="5"/>
    </row>
    <row r="30" spans="2:14" x14ac:dyDescent="0.25">
      <c r="B30" s="7"/>
      <c r="K30" s="5"/>
    </row>
    <row r="31" spans="2:14" x14ac:dyDescent="0.25">
      <c r="B31" s="7"/>
      <c r="K31" s="5"/>
    </row>
    <row r="32" spans="2:14" x14ac:dyDescent="0.25">
      <c r="B32" s="7"/>
      <c r="K32" s="5"/>
    </row>
    <row r="33" spans="2:11" x14ac:dyDescent="0.25">
      <c r="B33" s="7"/>
      <c r="K33" s="5"/>
    </row>
    <row r="34" spans="2:11" x14ac:dyDescent="0.25">
      <c r="B34" s="7"/>
      <c r="K34" s="5"/>
    </row>
    <row r="35" spans="2:11" x14ac:dyDescent="0.25">
      <c r="B35" s="7"/>
      <c r="K35" s="5"/>
    </row>
    <row r="36" spans="2:11" x14ac:dyDescent="0.25">
      <c r="B36" s="7"/>
      <c r="K36" s="5"/>
    </row>
    <row r="37" spans="2:11" x14ac:dyDescent="0.25">
      <c r="B37" s="7"/>
      <c r="K37" s="5"/>
    </row>
    <row r="38" spans="2:11" x14ac:dyDescent="0.25">
      <c r="B38" s="7"/>
      <c r="K38" s="5"/>
    </row>
    <row r="39" spans="2:11" x14ac:dyDescent="0.25">
      <c r="B39" s="7"/>
      <c r="K39" s="5"/>
    </row>
    <row r="40" spans="2:11" x14ac:dyDescent="0.25">
      <c r="B40" s="7"/>
      <c r="K40" s="5"/>
    </row>
    <row r="41" spans="2:11" x14ac:dyDescent="0.25">
      <c r="B41" s="7"/>
      <c r="K41" s="5"/>
    </row>
    <row r="42" spans="2:11" x14ac:dyDescent="0.25">
      <c r="B42" s="7"/>
      <c r="K42" s="5"/>
    </row>
    <row r="43" spans="2:11" x14ac:dyDescent="0.25">
      <c r="B43" s="7"/>
      <c r="K43" s="5"/>
    </row>
    <row r="44" spans="2:11" x14ac:dyDescent="0.25">
      <c r="B44" s="7"/>
      <c r="K44" s="5"/>
    </row>
    <row r="45" spans="2:11" x14ac:dyDescent="0.25">
      <c r="B45" s="7"/>
      <c r="K45" s="5"/>
    </row>
    <row r="46" spans="2:11" x14ac:dyDescent="0.25">
      <c r="B46" s="7"/>
      <c r="K46" s="5"/>
    </row>
    <row r="47" spans="2:11" x14ac:dyDescent="0.25">
      <c r="B47" s="7"/>
      <c r="K47" s="5"/>
    </row>
    <row r="48" spans="2:11" x14ac:dyDescent="0.25">
      <c r="B48" s="7"/>
      <c r="K48" s="5"/>
    </row>
    <row r="49" spans="2:11" x14ac:dyDescent="0.25">
      <c r="B49" s="7"/>
      <c r="K49" s="5"/>
    </row>
    <row r="50" spans="2:11" x14ac:dyDescent="0.25">
      <c r="B50" s="7"/>
      <c r="K50" s="5"/>
    </row>
    <row r="51" spans="2:11" x14ac:dyDescent="0.25">
      <c r="B51" s="7"/>
      <c r="K51" s="5"/>
    </row>
    <row r="52" spans="2:11" x14ac:dyDescent="0.25">
      <c r="B52" s="7"/>
      <c r="K52" s="5"/>
    </row>
    <row r="53" spans="2:11" x14ac:dyDescent="0.25">
      <c r="B53" s="7"/>
      <c r="K53" s="5"/>
    </row>
    <row r="54" spans="2:11" x14ac:dyDescent="0.25">
      <c r="B54" s="7"/>
      <c r="K54" s="5"/>
    </row>
    <row r="55" spans="2:11" x14ac:dyDescent="0.25">
      <c r="B55" s="7"/>
      <c r="K55" s="5"/>
    </row>
    <row r="56" spans="2:11" x14ac:dyDescent="0.25">
      <c r="B56" s="7"/>
      <c r="K56" s="5"/>
    </row>
    <row r="57" spans="2:11" x14ac:dyDescent="0.25">
      <c r="B57" s="7"/>
      <c r="K57" s="5"/>
    </row>
    <row r="58" spans="2:11" x14ac:dyDescent="0.25">
      <c r="B58" s="7"/>
      <c r="K58" s="5"/>
    </row>
    <row r="59" spans="2:11" x14ac:dyDescent="0.25">
      <c r="B59" s="7"/>
      <c r="K59" s="5"/>
    </row>
    <row r="60" spans="2:11" x14ac:dyDescent="0.25">
      <c r="B60" s="7"/>
      <c r="K60" s="5"/>
    </row>
    <row r="61" spans="2:11" x14ac:dyDescent="0.25">
      <c r="B61" s="7"/>
      <c r="K61" s="5"/>
    </row>
    <row r="62" spans="2:11" x14ac:dyDescent="0.25">
      <c r="B62" s="7"/>
      <c r="K62" s="5"/>
    </row>
    <row r="63" spans="2:11" x14ac:dyDescent="0.25">
      <c r="B63" s="7"/>
      <c r="K63" s="5"/>
    </row>
    <row r="64" spans="2:11" x14ac:dyDescent="0.25">
      <c r="B64" s="7"/>
      <c r="K64" s="5"/>
    </row>
    <row r="65" spans="2:11" x14ac:dyDescent="0.25">
      <c r="B65" s="7"/>
      <c r="K65" s="5"/>
    </row>
    <row r="66" spans="2:11" x14ac:dyDescent="0.25">
      <c r="B66" s="7"/>
      <c r="K66" s="5"/>
    </row>
    <row r="67" spans="2:11" x14ac:dyDescent="0.25">
      <c r="B67" s="7"/>
      <c r="K67" s="5"/>
    </row>
    <row r="68" spans="2:11" x14ac:dyDescent="0.25">
      <c r="B68" s="7"/>
      <c r="K68" s="5"/>
    </row>
    <row r="69" spans="2:11" x14ac:dyDescent="0.25">
      <c r="B69" s="7"/>
      <c r="K69" s="5"/>
    </row>
    <row r="70" spans="2:11" x14ac:dyDescent="0.25">
      <c r="B70" s="7"/>
      <c r="K70" s="5"/>
    </row>
    <row r="71" spans="2:11" x14ac:dyDescent="0.25">
      <c r="B71" s="7"/>
      <c r="K71" s="5"/>
    </row>
    <row r="72" spans="2:11" x14ac:dyDescent="0.25">
      <c r="B72" s="7"/>
      <c r="K72" s="5"/>
    </row>
    <row r="73" spans="2:11" x14ac:dyDescent="0.25">
      <c r="B73" s="7"/>
      <c r="K73" s="5"/>
    </row>
    <row r="74" spans="2:11" x14ac:dyDescent="0.25">
      <c r="B74" s="7"/>
      <c r="K74" s="5"/>
    </row>
    <row r="75" spans="2:11" x14ac:dyDescent="0.25">
      <c r="K75" s="5"/>
    </row>
    <row r="76" spans="2:11" x14ac:dyDescent="0.25">
      <c r="K76" s="5"/>
    </row>
    <row r="77" spans="2:11" x14ac:dyDescent="0.25">
      <c r="K77" s="5"/>
    </row>
    <row r="78" spans="2:11" x14ac:dyDescent="0.25">
      <c r="K78" s="5"/>
    </row>
    <row r="79" spans="2:11" x14ac:dyDescent="0.25">
      <c r="K79" s="5"/>
    </row>
    <row r="80" spans="2:11" x14ac:dyDescent="0.25">
      <c r="K80" s="5"/>
    </row>
    <row r="81" spans="11:11" x14ac:dyDescent="0.25">
      <c r="K81" s="5"/>
    </row>
    <row r="82" spans="11:11" x14ac:dyDescent="0.25">
      <c r="K82" s="5"/>
    </row>
    <row r="83" spans="11:11" x14ac:dyDescent="0.25">
      <c r="K83" s="5"/>
    </row>
    <row r="84" spans="11:11" x14ac:dyDescent="0.25">
      <c r="K84" s="5"/>
    </row>
    <row r="85" spans="11:11" x14ac:dyDescent="0.25">
      <c r="K85" s="5"/>
    </row>
    <row r="86" spans="11:11" x14ac:dyDescent="0.25">
      <c r="K86" s="5"/>
    </row>
    <row r="87" spans="11:11" x14ac:dyDescent="0.25">
      <c r="K87" s="5"/>
    </row>
    <row r="88" spans="11:11" x14ac:dyDescent="0.25"/>
    <row r="89" spans="11:11" x14ac:dyDescent="0.25"/>
    <row r="90" spans="11:11" ht="15.75" hidden="1" customHeight="1" x14ac:dyDescent="0.25"/>
    <row r="91" spans="11:11" ht="15.75" hidden="1" customHeight="1" x14ac:dyDescent="0.25"/>
    <row r="92" spans="11:11" ht="15.75" hidden="1" customHeight="1" x14ac:dyDescent="0.25"/>
    <row r="93" spans="11:11" ht="15.75" hidden="1" customHeight="1" x14ac:dyDescent="0.25"/>
    <row r="94" spans="11:11" ht="15.75" hidden="1" customHeight="1" x14ac:dyDescent="0.25"/>
    <row r="95" spans="11:11" ht="15.75" hidden="1" customHeight="1" x14ac:dyDescent="0.25"/>
    <row r="96" spans="11:11" ht="15.75" hidden="1" customHeight="1" x14ac:dyDescent="0.25"/>
    <row r="97" ht="15.75" hidden="1" customHeight="1" x14ac:dyDescent="0.25"/>
    <row r="98" ht="15.75" hidden="1" customHeight="1" x14ac:dyDescent="0.25"/>
    <row r="99" ht="15.75" hidden="1" customHeight="1" x14ac:dyDescent="0.25"/>
    <row r="100" ht="15.75" hidden="1" customHeight="1" x14ac:dyDescent="0.25"/>
    <row r="101" ht="15.75" hidden="1" customHeight="1" x14ac:dyDescent="0.25"/>
    <row r="102" ht="15.75" hidden="1" customHeight="1" x14ac:dyDescent="0.25"/>
    <row r="103" ht="15.75" hidden="1" customHeight="1" x14ac:dyDescent="0.25"/>
    <row r="104" ht="15.75" hidden="1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hidden="1" customHeight="1" x14ac:dyDescent="0.25"/>
    <row r="112" ht="15.75" hidden="1" customHeight="1" x14ac:dyDescent="0.25"/>
  </sheetData>
  <mergeCells count="11">
    <mergeCell ref="L2:O2"/>
    <mergeCell ref="B2:J2"/>
    <mergeCell ref="B18:J18"/>
    <mergeCell ref="B20:B21"/>
    <mergeCell ref="D20:F20"/>
    <mergeCell ref="H20:J20"/>
    <mergeCell ref="D4:F4"/>
    <mergeCell ref="H4:J4"/>
    <mergeCell ref="B4:B5"/>
    <mergeCell ref="L15:N15"/>
    <mergeCell ref="L16:N16"/>
  </mergeCells>
  <conditionalFormatting sqref="C1:F1 B16:C17 D29:F75 C3 D4 K1:T1 C5 B4 A20:A78 C25:C26 B27:C74 G25:G28 B22:B26 C14 A14 A1:A9 C9 B6:B9 A16:A18 A10:C13 G9:G13 G15 A15:C15 K2 P2:T2 K3:T4 O13:O17 P5:T89 K9:K87 L6:N6 M7:N7 M18:O18 L19:O91">
    <cfRule type="containsBlanks" dxfId="56" priority="76">
      <formula>LEN(TRIM(A1))=0</formula>
    </cfRule>
  </conditionalFormatting>
  <conditionalFormatting sqref="B1">
    <cfRule type="containsBlanks" dxfId="55" priority="75">
      <formula>LEN(TRIM(B1))=0</formula>
    </cfRule>
  </conditionalFormatting>
  <conditionalFormatting sqref="A79:A89">
    <cfRule type="containsBlanks" dxfId="54" priority="73">
      <formula>LEN(TRIM(A79))=0</formula>
    </cfRule>
  </conditionalFormatting>
  <conditionalFormatting sqref="K8">
    <cfRule type="containsBlanks" dxfId="53" priority="69">
      <formula>LEN(TRIM(K8))=0</formula>
    </cfRule>
  </conditionalFormatting>
  <conditionalFormatting sqref="K5:K7">
    <cfRule type="containsBlanks" dxfId="52" priority="72">
      <formula>LEN(TRIM(K5))=0</formula>
    </cfRule>
  </conditionalFormatting>
  <conditionalFormatting sqref="C6:C8">
    <cfRule type="containsBlanks" dxfId="51" priority="71">
      <formula>LEN(TRIM(C6))=0</formula>
    </cfRule>
  </conditionalFormatting>
  <conditionalFormatting sqref="D16:F17">
    <cfRule type="containsBlanks" dxfId="50" priority="66">
      <formula>LEN(TRIM(D16))=0</formula>
    </cfRule>
  </conditionalFormatting>
  <conditionalFormatting sqref="C4">
    <cfRule type="containsBlanks" dxfId="49" priority="62">
      <formula>LEN(TRIM(C4))=0</formula>
    </cfRule>
  </conditionalFormatting>
  <conditionalFormatting sqref="D3:F3">
    <cfRule type="containsBlanks" dxfId="48" priority="41">
      <formula>LEN(TRIM(D3))=0</formula>
    </cfRule>
  </conditionalFormatting>
  <conditionalFormatting sqref="B14">
    <cfRule type="containsBlanks" dxfId="47" priority="35">
      <formula>LEN(TRIM(B14))=0</formula>
    </cfRule>
  </conditionalFormatting>
  <conditionalFormatting sqref="B2:B3">
    <cfRule type="containsBlanks" dxfId="46" priority="34">
      <formula>LEN(TRIM(B2))=0</formula>
    </cfRule>
  </conditionalFormatting>
  <conditionalFormatting sqref="H1:J1 H29:J75 H4">
    <cfRule type="containsBlanks" dxfId="45" priority="31">
      <formula>LEN(TRIM(H1))=0</formula>
    </cfRule>
  </conditionalFormatting>
  <conditionalFormatting sqref="H16:J17">
    <cfRule type="containsBlanks" dxfId="44" priority="30">
      <formula>LEN(TRIM(H16))=0</formula>
    </cfRule>
  </conditionalFormatting>
  <conditionalFormatting sqref="H3:J3">
    <cfRule type="containsBlanks" dxfId="43" priority="29">
      <formula>LEN(TRIM(H3))=0</formula>
    </cfRule>
  </conditionalFormatting>
  <conditionalFormatting sqref="G1 G3 G29:G74 G14 G16:G17">
    <cfRule type="containsBlanks" dxfId="42" priority="28">
      <formula>LEN(TRIM(G1))=0</formula>
    </cfRule>
  </conditionalFormatting>
  <conditionalFormatting sqref="G5:G8">
    <cfRule type="containsBlanks" dxfId="41" priority="27">
      <formula>LEN(TRIM(G5))=0</formula>
    </cfRule>
  </conditionalFormatting>
  <conditionalFormatting sqref="G4">
    <cfRule type="containsBlanks" dxfId="40" priority="26">
      <formula>LEN(TRIM(G4))=0</formula>
    </cfRule>
  </conditionalFormatting>
  <conditionalFormatting sqref="D20 C21 B20">
    <cfRule type="containsBlanks" dxfId="39" priority="25">
      <formula>LEN(TRIM(B20))=0</formula>
    </cfRule>
  </conditionalFormatting>
  <conditionalFormatting sqref="C22:C24">
    <cfRule type="containsBlanks" dxfId="38" priority="24">
      <formula>LEN(TRIM(C22))=0</formula>
    </cfRule>
  </conditionalFormatting>
  <conditionalFormatting sqref="C20">
    <cfRule type="containsBlanks" dxfId="37" priority="23">
      <formula>LEN(TRIM(C20))=0</formula>
    </cfRule>
  </conditionalFormatting>
  <conditionalFormatting sqref="B18">
    <cfRule type="containsBlanks" dxfId="36" priority="20">
      <formula>LEN(TRIM(B18))=0</formula>
    </cfRule>
  </conditionalFormatting>
  <conditionalFormatting sqref="H20">
    <cfRule type="containsBlanks" dxfId="35" priority="19">
      <formula>LEN(TRIM(H20))=0</formula>
    </cfRule>
  </conditionalFormatting>
  <conditionalFormatting sqref="D19:F19">
    <cfRule type="containsBlanks" dxfId="34" priority="13">
      <formula>LEN(TRIM(D19))=0</formula>
    </cfRule>
  </conditionalFormatting>
  <conditionalFormatting sqref="G21:G24">
    <cfRule type="containsBlanks" dxfId="33" priority="16">
      <formula>LEN(TRIM(G21))=0</formula>
    </cfRule>
  </conditionalFormatting>
  <conditionalFormatting sqref="G20">
    <cfRule type="containsBlanks" dxfId="32" priority="15">
      <formula>LEN(TRIM(G20))=0</formula>
    </cfRule>
  </conditionalFormatting>
  <conditionalFormatting sqref="A19 C19">
    <cfRule type="containsBlanks" dxfId="31" priority="14">
      <formula>LEN(TRIM(A19))=0</formula>
    </cfRule>
  </conditionalFormatting>
  <conditionalFormatting sqref="B19">
    <cfRule type="containsBlanks" dxfId="30" priority="12">
      <formula>LEN(TRIM(B19))=0</formula>
    </cfRule>
  </conditionalFormatting>
  <conditionalFormatting sqref="H19:J19">
    <cfRule type="containsBlanks" dxfId="29" priority="11">
      <formula>LEN(TRIM(H19))=0</formula>
    </cfRule>
  </conditionalFormatting>
  <conditionalFormatting sqref="G19">
    <cfRule type="containsBlanks" dxfId="28" priority="10">
      <formula>LEN(TRIM(G19))=0</formula>
    </cfRule>
  </conditionalFormatting>
  <conditionalFormatting sqref="L2">
    <cfRule type="containsBlanks" dxfId="27" priority="9">
      <formula>LEN(TRIM(L2))=0</formula>
    </cfRule>
  </conditionalFormatting>
  <conditionalFormatting sqref="L8:N11 L13:N14 L12:M12 L17:N17 L15:L16">
    <cfRule type="containsBlanks" dxfId="26" priority="5">
      <formula>LEN(TRIM(L8))=0</formula>
    </cfRule>
  </conditionalFormatting>
  <conditionalFormatting sqref="L5:M5">
    <cfRule type="containsBlanks" dxfId="25" priority="8">
      <formula>LEN(TRIM(L5))=0</formula>
    </cfRule>
  </conditionalFormatting>
  <conditionalFormatting sqref="N5">
    <cfRule type="containsBlanks" dxfId="24" priority="7">
      <formula>LEN(TRIM(N5))=0</formula>
    </cfRule>
  </conditionalFormatting>
  <conditionalFormatting sqref="L7">
    <cfRule type="containsBlanks" dxfId="23" priority="4">
      <formula>LEN(TRIM(L7))=0</formula>
    </cfRule>
  </conditionalFormatting>
  <conditionalFormatting sqref="N12">
    <cfRule type="containsBlanks" dxfId="22" priority="2">
      <formula>LEN(TRIM(N12))=0</formula>
    </cfRule>
  </conditionalFormatting>
  <conditionalFormatting sqref="L18">
    <cfRule type="containsBlanks" dxfId="21" priority="1">
      <formula>LEN(TRIM(L18))=0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B1:M101"/>
  <sheetViews>
    <sheetView topLeftCell="B1" zoomScale="130" zoomScaleNormal="130" workbookViewId="0">
      <selection activeCell="B1" sqref="B1"/>
    </sheetView>
  </sheetViews>
  <sheetFormatPr defaultColWidth="0" defaultRowHeight="15.75" customHeight="1" zeroHeight="1" x14ac:dyDescent="0.25"/>
  <cols>
    <col min="1" max="1" width="9.140625" style="1" hidden="1" customWidth="1"/>
    <col min="2" max="2" width="9.140625" style="1" customWidth="1"/>
    <col min="3" max="3" width="15.5703125" style="1" bestFit="1" customWidth="1"/>
    <col min="4" max="4" width="0.42578125" style="1" customWidth="1"/>
    <col min="5" max="5" width="25.5703125" style="1" customWidth="1"/>
    <col min="6" max="6" width="0.42578125" style="1" customWidth="1"/>
    <col min="7" max="7" width="16" style="1" bestFit="1" customWidth="1"/>
    <col min="8" max="8" width="0.42578125" style="1" customWidth="1"/>
    <col min="9" max="9" width="28.42578125" style="1" customWidth="1"/>
    <col min="10" max="13" width="9.140625" style="1" customWidth="1"/>
    <col min="14" max="15" width="9.140625" style="1" hidden="1" customWidth="1"/>
    <col min="16" max="16384" width="9.140625" style="1" hidden="1"/>
  </cols>
  <sheetData>
    <row r="1" spans="3:9" x14ac:dyDescent="0.25"/>
    <row r="2" spans="3:9" x14ac:dyDescent="0.25">
      <c r="C2" s="6" t="s">
        <v>3</v>
      </c>
      <c r="D2" s="2"/>
      <c r="E2" s="2" t="s">
        <v>4</v>
      </c>
      <c r="F2" s="2"/>
      <c r="G2" s="2" t="s">
        <v>5</v>
      </c>
      <c r="H2" s="8"/>
      <c r="I2" s="2" t="s">
        <v>6</v>
      </c>
    </row>
    <row r="3" spans="3:9" x14ac:dyDescent="0.25">
      <c r="C3" s="13" t="s">
        <v>7</v>
      </c>
      <c r="E3" s="12" t="s">
        <v>8</v>
      </c>
      <c r="G3" s="8" t="s">
        <v>9</v>
      </c>
      <c r="I3" s="14" t="s">
        <v>10</v>
      </c>
    </row>
    <row r="4" spans="3:9" x14ac:dyDescent="0.25">
      <c r="C4" s="13" t="s">
        <v>7</v>
      </c>
      <c r="D4" s="7"/>
      <c r="E4" s="12" t="s">
        <v>11</v>
      </c>
      <c r="F4" s="7"/>
      <c r="G4" s="8" t="s">
        <v>13</v>
      </c>
      <c r="I4" s="14" t="s">
        <v>12</v>
      </c>
    </row>
    <row r="5" spans="3:9" x14ac:dyDescent="0.25">
      <c r="C5" s="13" t="s">
        <v>14</v>
      </c>
      <c r="D5" s="7"/>
      <c r="E5" s="12" t="s">
        <v>17</v>
      </c>
      <c r="F5" s="7"/>
      <c r="G5" s="8" t="s">
        <v>15</v>
      </c>
      <c r="I5" s="14" t="s">
        <v>16</v>
      </c>
    </row>
    <row r="6" spans="3:9" x14ac:dyDescent="0.25">
      <c r="C6" s="13" t="s">
        <v>14</v>
      </c>
      <c r="E6" s="12" t="s">
        <v>18</v>
      </c>
      <c r="G6" s="8" t="s">
        <v>20</v>
      </c>
      <c r="I6" s="14" t="s">
        <v>22</v>
      </c>
    </row>
    <row r="7" spans="3:9" x14ac:dyDescent="0.25">
      <c r="C7" s="13" t="s">
        <v>14</v>
      </c>
      <c r="E7" s="12" t="s">
        <v>19</v>
      </c>
      <c r="G7" s="8" t="s">
        <v>21</v>
      </c>
      <c r="I7" s="14" t="s">
        <v>23</v>
      </c>
    </row>
    <row r="8" spans="3:9" x14ac:dyDescent="0.25">
      <c r="C8" s="13" t="s">
        <v>24</v>
      </c>
      <c r="D8" s="7"/>
      <c r="E8" s="12" t="s">
        <v>25</v>
      </c>
      <c r="F8" s="7"/>
      <c r="G8" s="8" t="s">
        <v>27</v>
      </c>
      <c r="I8" s="14" t="s">
        <v>26</v>
      </c>
    </row>
    <row r="9" spans="3:9" x14ac:dyDescent="0.25">
      <c r="C9" s="13"/>
      <c r="D9" s="7"/>
      <c r="E9" s="12"/>
      <c r="F9" s="7"/>
      <c r="G9" s="8"/>
      <c r="I9" s="9"/>
    </row>
    <row r="10" spans="3:9" x14ac:dyDescent="0.25">
      <c r="C10" s="13"/>
      <c r="D10" s="7"/>
      <c r="E10" s="12"/>
      <c r="F10" s="7"/>
      <c r="G10" s="8"/>
      <c r="I10" s="5"/>
    </row>
    <row r="11" spans="3:9" x14ac:dyDescent="0.25">
      <c r="C11" s="13"/>
      <c r="D11" s="7"/>
      <c r="E11" s="12"/>
      <c r="F11" s="7"/>
      <c r="G11" s="8"/>
      <c r="I11" s="5"/>
    </row>
    <row r="12" spans="3:9" x14ac:dyDescent="0.25">
      <c r="C12" s="13"/>
      <c r="E12" s="11"/>
      <c r="G12" s="8"/>
      <c r="I12" s="5"/>
    </row>
    <row r="13" spans="3:9" x14ac:dyDescent="0.25">
      <c r="C13" s="13"/>
      <c r="E13" s="2"/>
      <c r="G13" s="10"/>
      <c r="I13" s="5"/>
    </row>
    <row r="14" spans="3:9" x14ac:dyDescent="0.25">
      <c r="C14" s="13"/>
      <c r="E14" s="11"/>
      <c r="G14" s="8"/>
      <c r="I14" s="5"/>
    </row>
    <row r="15" spans="3:9" x14ac:dyDescent="0.25">
      <c r="C15" s="13"/>
      <c r="E15" s="11"/>
      <c r="G15" s="8"/>
      <c r="I15" s="5"/>
    </row>
    <row r="16" spans="3:9" x14ac:dyDescent="0.25">
      <c r="C16" s="13"/>
      <c r="E16" s="11"/>
      <c r="G16" s="8"/>
      <c r="I16" s="5"/>
    </row>
    <row r="17" spans="3:9" x14ac:dyDescent="0.25">
      <c r="C17" s="13"/>
      <c r="E17" s="11"/>
      <c r="G17" s="8"/>
      <c r="I17" s="5"/>
    </row>
    <row r="18" spans="3:9" x14ac:dyDescent="0.25">
      <c r="C18" s="13"/>
      <c r="E18" s="11"/>
      <c r="G18" s="8"/>
      <c r="I18" s="5"/>
    </row>
    <row r="19" spans="3:9" x14ac:dyDescent="0.25">
      <c r="C19" s="13"/>
      <c r="E19" s="11"/>
      <c r="G19" s="8"/>
      <c r="I19" s="5"/>
    </row>
    <row r="20" spans="3:9" x14ac:dyDescent="0.25">
      <c r="C20" s="13"/>
      <c r="E20" s="11"/>
      <c r="G20" s="8"/>
      <c r="I20" s="5"/>
    </row>
    <row r="21" spans="3:9" x14ac:dyDescent="0.25">
      <c r="C21" s="13"/>
      <c r="E21" s="11"/>
      <c r="G21" s="8"/>
      <c r="I21" s="5"/>
    </row>
    <row r="22" spans="3:9" x14ac:dyDescent="0.25">
      <c r="C22" s="13"/>
      <c r="E22" s="11"/>
      <c r="G22" s="8"/>
      <c r="I22" s="5"/>
    </row>
    <row r="23" spans="3:9" x14ac:dyDescent="0.25">
      <c r="C23" s="7"/>
      <c r="E23" s="11"/>
      <c r="G23" s="8"/>
      <c r="I23" s="5"/>
    </row>
    <row r="24" spans="3:9" x14ac:dyDescent="0.25">
      <c r="C24" s="7"/>
      <c r="E24" s="11"/>
      <c r="G24" s="8"/>
      <c r="I24" s="5"/>
    </row>
    <row r="25" spans="3:9" x14ac:dyDescent="0.25">
      <c r="C25" s="7"/>
      <c r="E25" s="11"/>
      <c r="G25" s="8"/>
      <c r="I25" s="5"/>
    </row>
    <row r="26" spans="3:9" x14ac:dyDescent="0.25">
      <c r="C26" s="7"/>
      <c r="E26" s="11"/>
      <c r="G26" s="8"/>
      <c r="I26" s="5"/>
    </row>
    <row r="27" spans="3:9" x14ac:dyDescent="0.25">
      <c r="C27" s="7"/>
      <c r="E27" s="11"/>
      <c r="G27" s="8"/>
      <c r="I27" s="5"/>
    </row>
    <row r="28" spans="3:9" x14ac:dyDescent="0.25">
      <c r="C28" s="7"/>
      <c r="E28" s="11"/>
      <c r="G28" s="8"/>
      <c r="I28" s="5"/>
    </row>
    <row r="29" spans="3:9" x14ac:dyDescent="0.25">
      <c r="C29" s="7"/>
      <c r="E29" s="11"/>
      <c r="G29" s="8"/>
      <c r="I29" s="5"/>
    </row>
    <row r="30" spans="3:9" x14ac:dyDescent="0.25">
      <c r="C30" s="7"/>
      <c r="E30" s="11"/>
      <c r="G30" s="8"/>
      <c r="I30" s="5"/>
    </row>
    <row r="31" spans="3:9" x14ac:dyDescent="0.25">
      <c r="C31" s="7"/>
      <c r="E31" s="11"/>
      <c r="G31" s="8"/>
      <c r="I31" s="5"/>
    </row>
    <row r="32" spans="3:9" x14ac:dyDescent="0.25">
      <c r="C32" s="7"/>
      <c r="E32" s="11"/>
      <c r="G32" s="8"/>
      <c r="I32" s="5"/>
    </row>
    <row r="33" spans="3:9" x14ac:dyDescent="0.25">
      <c r="C33" s="7"/>
      <c r="E33" s="11"/>
      <c r="G33" s="8"/>
      <c r="I33" s="5"/>
    </row>
    <row r="34" spans="3:9" x14ac:dyDescent="0.25">
      <c r="C34" s="7"/>
      <c r="G34" s="8"/>
      <c r="I34" s="5"/>
    </row>
    <row r="35" spans="3:9" x14ac:dyDescent="0.25">
      <c r="C35" s="7"/>
      <c r="G35" s="8"/>
      <c r="I35" s="5"/>
    </row>
    <row r="36" spans="3:9" x14ac:dyDescent="0.25">
      <c r="C36" s="7"/>
      <c r="G36" s="8"/>
      <c r="I36" s="5"/>
    </row>
    <row r="37" spans="3:9" x14ac:dyDescent="0.25">
      <c r="C37" s="7"/>
      <c r="G37" s="8"/>
      <c r="I37" s="5"/>
    </row>
    <row r="38" spans="3:9" x14ac:dyDescent="0.25">
      <c r="C38" s="7"/>
      <c r="G38" s="8"/>
      <c r="I38" s="5"/>
    </row>
    <row r="39" spans="3:9" x14ac:dyDescent="0.25">
      <c r="C39" s="7"/>
      <c r="G39" s="8"/>
      <c r="I39" s="5"/>
    </row>
    <row r="40" spans="3:9" x14ac:dyDescent="0.25">
      <c r="C40" s="7"/>
      <c r="G40" s="8"/>
      <c r="I40" s="5"/>
    </row>
    <row r="41" spans="3:9" x14ac:dyDescent="0.25">
      <c r="C41" s="7"/>
      <c r="G41" s="8"/>
      <c r="I41" s="5"/>
    </row>
    <row r="42" spans="3:9" x14ac:dyDescent="0.25">
      <c r="C42" s="7"/>
      <c r="G42" s="8"/>
      <c r="I42" s="5"/>
    </row>
    <row r="43" spans="3:9" x14ac:dyDescent="0.25">
      <c r="C43" s="7"/>
      <c r="G43" s="8"/>
      <c r="I43" s="5"/>
    </row>
    <row r="44" spans="3:9" x14ac:dyDescent="0.25">
      <c r="C44" s="7"/>
      <c r="G44" s="8"/>
      <c r="I44" s="5"/>
    </row>
    <row r="45" spans="3:9" x14ac:dyDescent="0.25">
      <c r="C45" s="7"/>
      <c r="G45" s="8"/>
      <c r="I45" s="5"/>
    </row>
    <row r="46" spans="3:9" x14ac:dyDescent="0.25">
      <c r="C46" s="7"/>
      <c r="G46" s="8"/>
      <c r="I46" s="5"/>
    </row>
    <row r="47" spans="3:9" x14ac:dyDescent="0.25">
      <c r="C47" s="7"/>
      <c r="G47" s="8"/>
      <c r="I47" s="5"/>
    </row>
    <row r="48" spans="3:9" x14ac:dyDescent="0.25">
      <c r="C48" s="7"/>
      <c r="G48" s="8"/>
      <c r="I48" s="5"/>
    </row>
    <row r="49" spans="3:9" x14ac:dyDescent="0.25">
      <c r="C49" s="7"/>
      <c r="G49" s="8"/>
      <c r="I49" s="5"/>
    </row>
    <row r="50" spans="3:9" x14ac:dyDescent="0.25">
      <c r="C50" s="7"/>
      <c r="G50" s="8"/>
      <c r="I50" s="5"/>
    </row>
    <row r="51" spans="3:9" x14ac:dyDescent="0.25">
      <c r="C51" s="7"/>
      <c r="G51" s="8"/>
      <c r="I51" s="5"/>
    </row>
    <row r="52" spans="3:9" x14ac:dyDescent="0.25">
      <c r="C52" s="7"/>
      <c r="G52" s="8"/>
      <c r="I52" s="5"/>
    </row>
    <row r="53" spans="3:9" x14ac:dyDescent="0.25">
      <c r="C53" s="7"/>
      <c r="G53" s="8"/>
      <c r="I53" s="5"/>
    </row>
    <row r="54" spans="3:9" x14ac:dyDescent="0.25">
      <c r="C54" s="7"/>
      <c r="G54" s="8"/>
      <c r="I54" s="5"/>
    </row>
    <row r="55" spans="3:9" x14ac:dyDescent="0.25">
      <c r="C55" s="7"/>
      <c r="G55" s="8"/>
      <c r="I55" s="5"/>
    </row>
    <row r="56" spans="3:9" x14ac:dyDescent="0.25">
      <c r="C56" s="7"/>
      <c r="G56" s="8"/>
      <c r="I56" s="5"/>
    </row>
    <row r="57" spans="3:9" x14ac:dyDescent="0.25">
      <c r="C57" s="7"/>
      <c r="G57" s="8"/>
      <c r="I57" s="5"/>
    </row>
    <row r="58" spans="3:9" x14ac:dyDescent="0.25">
      <c r="C58" s="7"/>
      <c r="G58" s="8"/>
      <c r="I58" s="5"/>
    </row>
    <row r="59" spans="3:9" x14ac:dyDescent="0.25">
      <c r="C59" s="7"/>
      <c r="G59" s="8"/>
      <c r="I59" s="5"/>
    </row>
    <row r="60" spans="3:9" x14ac:dyDescent="0.25">
      <c r="C60" s="7"/>
      <c r="G60" s="8"/>
      <c r="I60" s="5"/>
    </row>
    <row r="61" spans="3:9" x14ac:dyDescent="0.25">
      <c r="C61" s="7"/>
      <c r="G61" s="8"/>
      <c r="I61" s="5"/>
    </row>
    <row r="62" spans="3:9" x14ac:dyDescent="0.25">
      <c r="C62" s="7"/>
      <c r="G62" s="8"/>
      <c r="I62" s="5"/>
    </row>
    <row r="63" spans="3:9" x14ac:dyDescent="0.25">
      <c r="C63" s="7"/>
      <c r="G63" s="8"/>
      <c r="I63" s="5"/>
    </row>
    <row r="64" spans="3:9" x14ac:dyDescent="0.25">
      <c r="C64" s="7"/>
      <c r="G64" s="8"/>
      <c r="I64" s="5"/>
    </row>
    <row r="65" spans="3:9" x14ac:dyDescent="0.25">
      <c r="C65" s="7"/>
      <c r="G65" s="8"/>
      <c r="I65" s="5"/>
    </row>
    <row r="66" spans="3:9" x14ac:dyDescent="0.25">
      <c r="C66" s="7"/>
      <c r="G66" s="8"/>
      <c r="I66" s="5"/>
    </row>
    <row r="67" spans="3:9" x14ac:dyDescent="0.25">
      <c r="C67" s="7"/>
      <c r="G67" s="8"/>
      <c r="I67" s="5"/>
    </row>
    <row r="68" spans="3:9" x14ac:dyDescent="0.25">
      <c r="C68" s="7"/>
      <c r="G68" s="8"/>
      <c r="I68" s="5"/>
    </row>
    <row r="69" spans="3:9" x14ac:dyDescent="0.25">
      <c r="C69" s="7"/>
      <c r="G69" s="8"/>
      <c r="I69" s="5"/>
    </row>
    <row r="70" spans="3:9" x14ac:dyDescent="0.25">
      <c r="C70" s="7"/>
      <c r="G70" s="8"/>
      <c r="I70" s="5"/>
    </row>
    <row r="71" spans="3:9" x14ac:dyDescent="0.25">
      <c r="C71" s="7"/>
      <c r="G71" s="8"/>
      <c r="I71" s="5"/>
    </row>
    <row r="72" spans="3:9" x14ac:dyDescent="0.25">
      <c r="C72" s="7"/>
      <c r="G72" s="8"/>
      <c r="I72" s="5"/>
    </row>
    <row r="73" spans="3:9" x14ac:dyDescent="0.25">
      <c r="C73" s="7"/>
      <c r="G73" s="8"/>
      <c r="I73" s="5"/>
    </row>
    <row r="74" spans="3:9" x14ac:dyDescent="0.25">
      <c r="C74" s="7"/>
      <c r="G74" s="8"/>
      <c r="I74" s="5"/>
    </row>
    <row r="75" spans="3:9" x14ac:dyDescent="0.25">
      <c r="C75" s="7"/>
      <c r="G75" s="8"/>
      <c r="I75" s="5"/>
    </row>
    <row r="76" spans="3:9" x14ac:dyDescent="0.25">
      <c r="C76" s="7"/>
      <c r="G76" s="8"/>
      <c r="I76" s="5"/>
    </row>
    <row r="77" spans="3:9" x14ac:dyDescent="0.25">
      <c r="C77" s="7"/>
      <c r="G77" s="8"/>
      <c r="I77" s="5"/>
    </row>
    <row r="78" spans="3:9" x14ac:dyDescent="0.25">
      <c r="C78" s="7"/>
      <c r="G78" s="8"/>
      <c r="I78" s="5"/>
    </row>
    <row r="79" spans="3:9" x14ac:dyDescent="0.25">
      <c r="C79" s="7"/>
      <c r="G79" s="8"/>
      <c r="I79" s="5"/>
    </row>
    <row r="80" spans="3:9" x14ac:dyDescent="0.25">
      <c r="C80" s="7"/>
      <c r="G80" s="8"/>
      <c r="I80" s="5"/>
    </row>
    <row r="81" spans="3:9" x14ac:dyDescent="0.25">
      <c r="C81" s="7"/>
      <c r="G81" s="8"/>
      <c r="I81" s="5"/>
    </row>
    <row r="82" spans="3:9" x14ac:dyDescent="0.25">
      <c r="C82" s="7"/>
      <c r="G82" s="8"/>
      <c r="I82" s="5"/>
    </row>
    <row r="83" spans="3:9" x14ac:dyDescent="0.25">
      <c r="C83" s="7"/>
      <c r="G83" s="8"/>
      <c r="I83" s="5"/>
    </row>
    <row r="84" spans="3:9" x14ac:dyDescent="0.25">
      <c r="C84" s="7"/>
      <c r="G84" s="8"/>
      <c r="I84" s="5"/>
    </row>
    <row r="85" spans="3:9" x14ac:dyDescent="0.25">
      <c r="C85" s="7"/>
      <c r="G85" s="8"/>
      <c r="I85" s="5"/>
    </row>
    <row r="86" spans="3:9" x14ac:dyDescent="0.25">
      <c r="C86" s="7"/>
      <c r="G86" s="8"/>
      <c r="I86" s="5"/>
    </row>
    <row r="87" spans="3:9" x14ac:dyDescent="0.25">
      <c r="C87" s="7"/>
      <c r="G87" s="8"/>
      <c r="I87" s="5"/>
    </row>
    <row r="88" spans="3:9" x14ac:dyDescent="0.25">
      <c r="C88" s="7"/>
      <c r="G88" s="8"/>
      <c r="I88" s="5"/>
    </row>
    <row r="89" spans="3:9" x14ac:dyDescent="0.25">
      <c r="C89" s="7"/>
      <c r="G89" s="8"/>
      <c r="I89" s="5"/>
    </row>
    <row r="90" spans="3:9" x14ac:dyDescent="0.25">
      <c r="C90" s="7"/>
      <c r="G90" s="8"/>
      <c r="I90" s="5"/>
    </row>
    <row r="91" spans="3:9" x14ac:dyDescent="0.25">
      <c r="G91" s="8"/>
      <c r="I91" s="5"/>
    </row>
    <row r="92" spans="3:9" ht="15.75" hidden="1" customHeight="1" x14ac:dyDescent="0.25">
      <c r="G92" s="8"/>
    </row>
    <row r="93" spans="3:9" ht="15.75" hidden="1" customHeight="1" x14ac:dyDescent="0.25"/>
    <row r="94" spans="3:9" ht="15.75" hidden="1" customHeight="1" x14ac:dyDescent="0.25"/>
    <row r="95" spans="3:9" ht="15.75" hidden="1" customHeight="1" x14ac:dyDescent="0.25"/>
    <row r="96" spans="3:9" ht="15.75" hidden="1" customHeight="1" x14ac:dyDescent="0.25"/>
    <row r="97" ht="15.75" hidden="1" customHeight="1" x14ac:dyDescent="0.25"/>
    <row r="98" ht="15.75" hidden="1" customHeight="1" x14ac:dyDescent="0.25"/>
    <row r="99" ht="15.75" hidden="1" customHeight="1" x14ac:dyDescent="0.25"/>
    <row r="100" ht="15.75" hidden="1" customHeight="1" x14ac:dyDescent="0.25"/>
    <row r="101" ht="15.75" hidden="1" customHeight="1" x14ac:dyDescent="0.25"/>
  </sheetData>
  <conditionalFormatting sqref="J5:O8 A1:B8 A81:A83 A10:B80 J10:O80 H10:I91 D1:E2 C23:D33 G10:G92 C34:E90 C4:D4 E6:E7 E12 G5:I5 D9:E11 G1:O4 C3:C4 D5 D22">
    <cfRule type="containsBlanks" dxfId="20" priority="23">
      <formula>LEN(TRIM(A1))=0</formula>
    </cfRule>
  </conditionalFormatting>
  <conditionalFormatting sqref="C1">
    <cfRule type="containsBlanks" dxfId="19" priority="22">
      <formula>LEN(TRIM(C1))=0</formula>
    </cfRule>
  </conditionalFormatting>
  <conditionalFormatting sqref="C2">
    <cfRule type="containsBlanks" dxfId="18" priority="21">
      <formula>LEN(TRIM(C2))=0</formula>
    </cfRule>
  </conditionalFormatting>
  <conditionalFormatting sqref="J81:O91 B81:B91">
    <cfRule type="containsBlanks" dxfId="17" priority="20">
      <formula>LEN(TRIM(B81))=0</formula>
    </cfRule>
  </conditionalFormatting>
  <conditionalFormatting sqref="J9:O9 A9:B9">
    <cfRule type="containsBlanks" dxfId="16" priority="17">
      <formula>LEN(TRIM(A9))=0</formula>
    </cfRule>
  </conditionalFormatting>
  <conditionalFormatting sqref="G9:I9">
    <cfRule type="containsBlanks" dxfId="15" priority="16">
      <formula>LEN(TRIM(G9))=0</formula>
    </cfRule>
  </conditionalFormatting>
  <conditionalFormatting sqref="G6:I7 H8:I8">
    <cfRule type="containsBlanks" dxfId="14" priority="19">
      <formula>LEN(TRIM(G6))=0</formula>
    </cfRule>
  </conditionalFormatting>
  <conditionalFormatting sqref="D6:D7 D12:D21">
    <cfRule type="containsBlanks" dxfId="13" priority="18">
      <formula>LEN(TRIM(D6))=0</formula>
    </cfRule>
  </conditionalFormatting>
  <conditionalFormatting sqref="G8">
    <cfRule type="containsBlanks" dxfId="12" priority="14">
      <formula>LEN(TRIM(G8))=0</formula>
    </cfRule>
  </conditionalFormatting>
  <conditionalFormatting sqref="E13">
    <cfRule type="containsBlanks" dxfId="11" priority="10">
      <formula>LEN(TRIM(E13))=0</formula>
    </cfRule>
  </conditionalFormatting>
  <conditionalFormatting sqref="E4">
    <cfRule type="containsBlanks" dxfId="10" priority="13">
      <formula>LEN(TRIM(E4))=0</formula>
    </cfRule>
  </conditionalFormatting>
  <conditionalFormatting sqref="E14:E33">
    <cfRule type="containsBlanks" dxfId="9" priority="12">
      <formula>LEN(TRIM(E14))=0</formula>
    </cfRule>
  </conditionalFormatting>
  <conditionalFormatting sqref="E5">
    <cfRule type="containsBlanks" dxfId="8" priority="11">
      <formula>LEN(TRIM(E5))=0</formula>
    </cfRule>
  </conditionalFormatting>
  <conditionalFormatting sqref="E3">
    <cfRule type="containsBlanks" dxfId="7" priority="9">
      <formula>LEN(TRIM(E3))=0</formula>
    </cfRule>
  </conditionalFormatting>
  <conditionalFormatting sqref="D3">
    <cfRule type="containsBlanks" dxfId="6" priority="8">
      <formula>LEN(TRIM(D3))=0</formula>
    </cfRule>
  </conditionalFormatting>
  <conditionalFormatting sqref="D8:E8">
    <cfRule type="containsBlanks" dxfId="5" priority="7">
      <formula>LEN(TRIM(D8))=0</formula>
    </cfRule>
  </conditionalFormatting>
  <conditionalFormatting sqref="F1:F2 F22:F90 F4:F5 F9:F11">
    <cfRule type="containsBlanks" dxfId="4" priority="5">
      <formula>LEN(TRIM(F1))=0</formula>
    </cfRule>
  </conditionalFormatting>
  <conditionalFormatting sqref="F6:F7 F12:F21">
    <cfRule type="containsBlanks" dxfId="3" priority="4">
      <formula>LEN(TRIM(F6))=0</formula>
    </cfRule>
  </conditionalFormatting>
  <conditionalFormatting sqref="F3">
    <cfRule type="containsBlanks" dxfId="2" priority="3">
      <formula>LEN(TRIM(F3))=0</formula>
    </cfRule>
  </conditionalFormatting>
  <conditionalFormatting sqref="F8">
    <cfRule type="containsBlanks" dxfId="1" priority="2">
      <formula>LEN(TRIM(F8))=0</formula>
    </cfRule>
  </conditionalFormatting>
  <conditionalFormatting sqref="C5:C22">
    <cfRule type="containsBlanks" dxfId="0" priority="1">
      <formula>LEN(TRIM(C5))=0</formula>
    </cfRule>
  </conditionalFormatting>
  <hyperlinks>
    <hyperlink ref="I3" r:id="rId1"/>
    <hyperlink ref="I4" r:id="rId2"/>
    <hyperlink ref="I5" r:id="rId3"/>
    <hyperlink ref="I6" r:id="rId4"/>
    <hyperlink ref="I7" r:id="rId5"/>
    <hyperlink ref="I8" r:id="rId6"/>
  </hyperlinks>
  <pageMargins left="0.7" right="0.7" top="0.75" bottom="0.75" header="0.3" footer="0.3"/>
  <pageSetup paperSize="9" orientation="portrait" r:id="rId7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Accounts Tasks</vt:lpstr>
      <vt:lpstr>Dashboard</vt:lpstr>
      <vt:lpstr>Workflows</vt:lpstr>
      <vt:lpstr>Dispatch flows</vt:lpstr>
      <vt:lpstr>Amily PoC Status</vt:lpstr>
      <vt:lpstr>Amily PoC Contacts</vt:lpstr>
      <vt:lpstr>Date</vt:lpstr>
    </vt:vector>
  </TitlesOfParts>
  <Company>Amdocs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Yaniv Avrashi</dc:creator>
  <cp:lastModifiedBy>Yaniv Avrashi</cp:lastModifiedBy>
  <cp:lastPrinted>2017-11-01T09:58:51Z</cp:lastPrinted>
  <dcterms:created xsi:type="dcterms:W3CDTF">2016-12-20T06:44:20Z</dcterms:created>
  <dcterms:modified xsi:type="dcterms:W3CDTF">2018-03-27T11:41:25Z</dcterms:modified>
</cp:coreProperties>
</file>